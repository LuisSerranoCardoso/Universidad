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.serranoc/Desktop/"/>
    </mc:Choice>
  </mc:AlternateContent>
  <xr:revisionPtr revIDLastSave="0" documentId="13_ncr:1_{07F57244-778C-594F-9925-EFA223C16ED1}" xr6:coauthVersionLast="47" xr6:coauthVersionMax="47" xr10:uidLastSave="{00000000-0000-0000-0000-000000000000}"/>
  <bookViews>
    <workbookView xWindow="15120" yWindow="700" windowWidth="15120" windowHeight="17400" xr2:uid="{AFD5DEC5-D035-A84B-9836-8F8198716B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0" i="1" l="1"/>
  <c r="U30" i="1"/>
  <c r="U29" i="1"/>
  <c r="U28" i="1"/>
  <c r="R30" i="1"/>
  <c r="R31" i="1"/>
  <c r="R43" i="1"/>
  <c r="M21" i="1"/>
  <c r="M22" i="1"/>
  <c r="M48" i="1"/>
  <c r="M49" i="1"/>
  <c r="M69" i="1"/>
  <c r="M70" i="1"/>
  <c r="M85" i="1"/>
  <c r="M109" i="1"/>
  <c r="M112" i="1"/>
  <c r="M113" i="1"/>
  <c r="J18" i="1"/>
  <c r="J19" i="1" s="1"/>
  <c r="P10" i="1"/>
  <c r="P11" i="1" s="1"/>
  <c r="J10" i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F51" i="1" s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F71" i="1" s="1"/>
  <c r="D72" i="1"/>
  <c r="F72" i="1" s="1"/>
  <c r="D73" i="1"/>
  <c r="F73" i="1" s="1"/>
  <c r="D74" i="1"/>
  <c r="F74" i="1" s="1"/>
  <c r="D75" i="1"/>
  <c r="F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83" i="1"/>
  <c r="F83" i="1" s="1"/>
  <c r="D84" i="1"/>
  <c r="F84" i="1" s="1"/>
  <c r="D85" i="1"/>
  <c r="F85" i="1" s="1"/>
  <c r="D86" i="1"/>
  <c r="F86" i="1" s="1"/>
  <c r="D87" i="1"/>
  <c r="F87" i="1" s="1"/>
  <c r="D88" i="1"/>
  <c r="F88" i="1" s="1"/>
  <c r="D89" i="1"/>
  <c r="F89" i="1" s="1"/>
  <c r="D90" i="1"/>
  <c r="F90" i="1" s="1"/>
  <c r="D91" i="1"/>
  <c r="F91" i="1" s="1"/>
  <c r="D92" i="1"/>
  <c r="F92" i="1" s="1"/>
  <c r="D93" i="1"/>
  <c r="F93" i="1" s="1"/>
  <c r="D94" i="1"/>
  <c r="F94" i="1" s="1"/>
  <c r="D95" i="1"/>
  <c r="F95" i="1" s="1"/>
  <c r="D96" i="1"/>
  <c r="F96" i="1" s="1"/>
  <c r="D97" i="1"/>
  <c r="F97" i="1" s="1"/>
  <c r="D98" i="1"/>
  <c r="F98" i="1" s="1"/>
  <c r="D99" i="1"/>
  <c r="F99" i="1" s="1"/>
  <c r="D100" i="1"/>
  <c r="F100" i="1" s="1"/>
  <c r="D101" i="1"/>
  <c r="F101" i="1" s="1"/>
  <c r="D102" i="1"/>
  <c r="F102" i="1" s="1"/>
  <c r="D103" i="1"/>
  <c r="F103" i="1" s="1"/>
  <c r="D104" i="1"/>
  <c r="F104" i="1" s="1"/>
  <c r="D105" i="1"/>
  <c r="F105" i="1" s="1"/>
  <c r="D106" i="1"/>
  <c r="F106" i="1" s="1"/>
  <c r="D107" i="1"/>
  <c r="F107" i="1" s="1"/>
  <c r="D108" i="1"/>
  <c r="F108" i="1" s="1"/>
  <c r="D109" i="1"/>
  <c r="F109" i="1" s="1"/>
  <c r="D110" i="1"/>
  <c r="F110" i="1" s="1"/>
  <c r="D111" i="1"/>
  <c r="F111" i="1" s="1"/>
  <c r="D112" i="1"/>
  <c r="F112" i="1" s="1"/>
  <c r="D113" i="1"/>
  <c r="F113" i="1" s="1"/>
  <c r="D114" i="1"/>
  <c r="F114" i="1" s="1"/>
  <c r="D115" i="1"/>
  <c r="F115" i="1" s="1"/>
  <c r="D116" i="1"/>
  <c r="F116" i="1" s="1"/>
  <c r="D117" i="1"/>
  <c r="F117" i="1" s="1"/>
  <c r="D118" i="1"/>
  <c r="F118" i="1" s="1"/>
  <c r="D119" i="1"/>
  <c r="F119" i="1" s="1"/>
  <c r="D120" i="1"/>
  <c r="F120" i="1" s="1"/>
  <c r="D121" i="1"/>
  <c r="F121" i="1" s="1"/>
  <c r="D122" i="1"/>
  <c r="F122" i="1" s="1"/>
  <c r="D123" i="1"/>
  <c r="F123" i="1" s="1"/>
  <c r="D124" i="1"/>
  <c r="F124" i="1" s="1"/>
  <c r="D125" i="1"/>
  <c r="F125" i="1" s="1"/>
  <c r="D126" i="1"/>
  <c r="F126" i="1" s="1"/>
  <c r="D127" i="1"/>
  <c r="F127" i="1" s="1"/>
  <c r="D128" i="1"/>
  <c r="F128" i="1" s="1"/>
  <c r="D129" i="1"/>
  <c r="F129" i="1" s="1"/>
  <c r="D130" i="1"/>
  <c r="F130" i="1" s="1"/>
  <c r="D10" i="1"/>
  <c r="F10" i="1" s="1"/>
  <c r="E25" i="1"/>
  <c r="M31" i="1" s="1"/>
  <c r="E26" i="1"/>
  <c r="M32" i="1" s="1"/>
  <c r="E27" i="1"/>
  <c r="M33" i="1" s="1"/>
  <c r="E28" i="1"/>
  <c r="M34" i="1" s="1"/>
  <c r="E29" i="1"/>
  <c r="M35" i="1" s="1"/>
  <c r="E30" i="1"/>
  <c r="M36" i="1" s="1"/>
  <c r="E31" i="1"/>
  <c r="M37" i="1" s="1"/>
  <c r="E32" i="1"/>
  <c r="M38" i="1" s="1"/>
  <c r="E33" i="1"/>
  <c r="M39" i="1" s="1"/>
  <c r="E34" i="1"/>
  <c r="M40" i="1" s="1"/>
  <c r="E35" i="1"/>
  <c r="M41" i="1" s="1"/>
  <c r="E36" i="1"/>
  <c r="M42" i="1" s="1"/>
  <c r="E37" i="1"/>
  <c r="M43" i="1" s="1"/>
  <c r="E38" i="1"/>
  <c r="M44" i="1" s="1"/>
  <c r="E39" i="1"/>
  <c r="M45" i="1" s="1"/>
  <c r="E40" i="1"/>
  <c r="M46" i="1" s="1"/>
  <c r="E41" i="1"/>
  <c r="M47" i="1" s="1"/>
  <c r="E42" i="1"/>
  <c r="E43" i="1"/>
  <c r="E44" i="1"/>
  <c r="M50" i="1" s="1"/>
  <c r="E45" i="1"/>
  <c r="M51" i="1" s="1"/>
  <c r="E46" i="1"/>
  <c r="M52" i="1" s="1"/>
  <c r="E47" i="1"/>
  <c r="M53" i="1" s="1"/>
  <c r="E48" i="1"/>
  <c r="M54" i="1" s="1"/>
  <c r="E49" i="1"/>
  <c r="M55" i="1" s="1"/>
  <c r="E50" i="1"/>
  <c r="M56" i="1" s="1"/>
  <c r="E51" i="1"/>
  <c r="M57" i="1" s="1"/>
  <c r="E52" i="1"/>
  <c r="M58" i="1" s="1"/>
  <c r="E53" i="1"/>
  <c r="M59" i="1" s="1"/>
  <c r="E54" i="1"/>
  <c r="M60" i="1" s="1"/>
  <c r="E55" i="1"/>
  <c r="M61" i="1" s="1"/>
  <c r="E56" i="1"/>
  <c r="M62" i="1" s="1"/>
  <c r="E57" i="1"/>
  <c r="M63" i="1" s="1"/>
  <c r="E58" i="1"/>
  <c r="M64" i="1" s="1"/>
  <c r="E59" i="1"/>
  <c r="M65" i="1" s="1"/>
  <c r="E60" i="1"/>
  <c r="M66" i="1" s="1"/>
  <c r="E61" i="1"/>
  <c r="M67" i="1" s="1"/>
  <c r="E62" i="1"/>
  <c r="M68" i="1" s="1"/>
  <c r="E63" i="1"/>
  <c r="E64" i="1"/>
  <c r="E65" i="1"/>
  <c r="M71" i="1" s="1"/>
  <c r="E66" i="1"/>
  <c r="M72" i="1" s="1"/>
  <c r="E67" i="1"/>
  <c r="M73" i="1" s="1"/>
  <c r="E68" i="1"/>
  <c r="M74" i="1" s="1"/>
  <c r="E69" i="1"/>
  <c r="M75" i="1" s="1"/>
  <c r="E70" i="1"/>
  <c r="M76" i="1" s="1"/>
  <c r="E71" i="1"/>
  <c r="M77" i="1" s="1"/>
  <c r="E72" i="1"/>
  <c r="M78" i="1" s="1"/>
  <c r="E73" i="1"/>
  <c r="M79" i="1" s="1"/>
  <c r="E74" i="1"/>
  <c r="M80" i="1" s="1"/>
  <c r="E75" i="1"/>
  <c r="M81" i="1" s="1"/>
  <c r="E76" i="1"/>
  <c r="M82" i="1" s="1"/>
  <c r="E77" i="1"/>
  <c r="M83" i="1" s="1"/>
  <c r="E78" i="1"/>
  <c r="M84" i="1" s="1"/>
  <c r="E79" i="1"/>
  <c r="E80" i="1"/>
  <c r="M86" i="1" s="1"/>
  <c r="E81" i="1"/>
  <c r="M87" i="1" s="1"/>
  <c r="E82" i="1"/>
  <c r="M88" i="1" s="1"/>
  <c r="E83" i="1"/>
  <c r="M89" i="1" s="1"/>
  <c r="E84" i="1"/>
  <c r="M90" i="1" s="1"/>
  <c r="E85" i="1"/>
  <c r="M91" i="1" s="1"/>
  <c r="E86" i="1"/>
  <c r="M92" i="1" s="1"/>
  <c r="E87" i="1"/>
  <c r="M93" i="1" s="1"/>
  <c r="E88" i="1"/>
  <c r="M94" i="1" s="1"/>
  <c r="E89" i="1"/>
  <c r="M95" i="1" s="1"/>
  <c r="E90" i="1"/>
  <c r="M96" i="1" s="1"/>
  <c r="E91" i="1"/>
  <c r="M97" i="1" s="1"/>
  <c r="E92" i="1"/>
  <c r="M98" i="1" s="1"/>
  <c r="E93" i="1"/>
  <c r="M99" i="1" s="1"/>
  <c r="E94" i="1"/>
  <c r="M100" i="1" s="1"/>
  <c r="E95" i="1"/>
  <c r="M101" i="1" s="1"/>
  <c r="E96" i="1"/>
  <c r="M102" i="1" s="1"/>
  <c r="E97" i="1"/>
  <c r="M103" i="1" s="1"/>
  <c r="E98" i="1"/>
  <c r="M104" i="1" s="1"/>
  <c r="E99" i="1"/>
  <c r="M105" i="1" s="1"/>
  <c r="E100" i="1"/>
  <c r="M106" i="1" s="1"/>
  <c r="E101" i="1"/>
  <c r="M107" i="1" s="1"/>
  <c r="E102" i="1"/>
  <c r="M108" i="1" s="1"/>
  <c r="E103" i="1"/>
  <c r="E104" i="1"/>
  <c r="M110" i="1" s="1"/>
  <c r="E105" i="1"/>
  <c r="M111" i="1" s="1"/>
  <c r="E106" i="1"/>
  <c r="E107" i="1"/>
  <c r="E108" i="1"/>
  <c r="M114" i="1" s="1"/>
  <c r="E109" i="1"/>
  <c r="M115" i="1" s="1"/>
  <c r="E110" i="1"/>
  <c r="M116" i="1" s="1"/>
  <c r="E111" i="1"/>
  <c r="M117" i="1" s="1"/>
  <c r="E112" i="1"/>
  <c r="M118" i="1" s="1"/>
  <c r="E113" i="1"/>
  <c r="M119" i="1" s="1"/>
  <c r="E114" i="1"/>
  <c r="M120" i="1" s="1"/>
  <c r="E115" i="1"/>
  <c r="M121" i="1" s="1"/>
  <c r="E116" i="1"/>
  <c r="M122" i="1" s="1"/>
  <c r="E117" i="1"/>
  <c r="M123" i="1" s="1"/>
  <c r="E118" i="1"/>
  <c r="M124" i="1" s="1"/>
  <c r="E119" i="1"/>
  <c r="M125" i="1" s="1"/>
  <c r="E120" i="1"/>
  <c r="M126" i="1" s="1"/>
  <c r="E121" i="1"/>
  <c r="M127" i="1" s="1"/>
  <c r="E122" i="1"/>
  <c r="M128" i="1" s="1"/>
  <c r="E123" i="1"/>
  <c r="M129" i="1" s="1"/>
  <c r="E124" i="1"/>
  <c r="M130" i="1" s="1"/>
  <c r="E125" i="1"/>
  <c r="M131" i="1" s="1"/>
  <c r="E126" i="1"/>
  <c r="M132" i="1" s="1"/>
  <c r="E127" i="1"/>
  <c r="M133" i="1" s="1"/>
  <c r="E128" i="1"/>
  <c r="M134" i="1" s="1"/>
  <c r="E129" i="1"/>
  <c r="M135" i="1" s="1"/>
  <c r="E130" i="1"/>
  <c r="M136" i="1" s="1"/>
  <c r="E11" i="1"/>
  <c r="M17" i="1" s="1"/>
  <c r="E12" i="1"/>
  <c r="E13" i="1"/>
  <c r="E14" i="1"/>
  <c r="S12" i="1" s="1"/>
  <c r="E15" i="1"/>
  <c r="S13" i="1" s="1"/>
  <c r="E16" i="1"/>
  <c r="S14" i="1" s="1"/>
  <c r="E17" i="1"/>
  <c r="S15" i="1" s="1"/>
  <c r="E18" i="1"/>
  <c r="S16" i="1" s="1"/>
  <c r="E19" i="1"/>
  <c r="S17" i="1" s="1"/>
  <c r="E20" i="1"/>
  <c r="M26" i="1" s="1"/>
  <c r="E21" i="1"/>
  <c r="M27" i="1" s="1"/>
  <c r="E22" i="1"/>
  <c r="M28" i="1" s="1"/>
  <c r="E23" i="1"/>
  <c r="M29" i="1" s="1"/>
  <c r="E24" i="1"/>
  <c r="M30" i="1" s="1"/>
  <c r="E10" i="1"/>
  <c r="M16" i="1" s="1"/>
  <c r="R44" i="1" l="1"/>
  <c r="U43" i="1" s="1"/>
  <c r="U48" i="1"/>
  <c r="U46" i="1"/>
  <c r="U42" i="1"/>
  <c r="U44" i="1"/>
  <c r="U47" i="1"/>
  <c r="U32" i="1"/>
  <c r="U33" i="1" s="1"/>
  <c r="M19" i="1"/>
  <c r="M18" i="1"/>
  <c r="S8" i="1"/>
  <c r="S10" i="1"/>
  <c r="S9" i="1"/>
  <c r="M20" i="1"/>
  <c r="S11" i="1"/>
  <c r="M25" i="1"/>
  <c r="M24" i="1"/>
  <c r="M23" i="1"/>
  <c r="S18" i="1"/>
  <c r="J11" i="1"/>
  <c r="M9" i="1" s="1"/>
  <c r="U41" i="1" l="1"/>
  <c r="U45" i="1"/>
  <c r="U49" i="1" s="1"/>
  <c r="U50" i="1" s="1"/>
  <c r="M137" i="1"/>
  <c r="M138" i="1" s="1"/>
  <c r="S19" i="1"/>
  <c r="S20" i="1" s="1"/>
  <c r="M10" i="1"/>
  <c r="M8" i="1"/>
  <c r="M11" i="1" s="1"/>
</calcChain>
</file>

<file path=xl/sharedStrings.xml><?xml version="1.0" encoding="utf-8"?>
<sst xmlns="http://schemas.openxmlformats.org/spreadsheetml/2006/main" count="58" uniqueCount="20">
  <si>
    <t>Lambda</t>
  </si>
  <si>
    <t>T</t>
  </si>
  <si>
    <t>K</t>
  </si>
  <si>
    <t>Poisson</t>
  </si>
  <si>
    <t>&lt;3</t>
  </si>
  <si>
    <t>Lambda*T</t>
  </si>
  <si>
    <t>K!</t>
  </si>
  <si>
    <t>e^(-lambda*T)</t>
  </si>
  <si>
    <t>llam/min</t>
  </si>
  <si>
    <t>llam/seg</t>
  </si>
  <si>
    <t>e^(-lambda*t)</t>
  </si>
  <si>
    <t>&gt;10</t>
  </si>
  <si>
    <t>&gt;120</t>
  </si>
  <si>
    <t>SUMA</t>
  </si>
  <si>
    <t>TOTAL</t>
  </si>
  <si>
    <t>PSP1</t>
  </si>
  <si>
    <t>e^(-Lambda*t)</t>
  </si>
  <si>
    <t>POISSON</t>
  </si>
  <si>
    <t>&gt;=3</t>
  </si>
  <si>
    <t>1&lt;N&lt;7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</si>
</sst>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%"/>
    <numFmt numFmtId="165" formatCode="0.0000%"/>
    <numFmt numFmtId="167" formatCode="_-* #,##0.000_-;\-* #,##0.000_-;_-* &quot;-&quot;??_-;_-@_-"/>
    <numFmt numFmtId="179" formatCode="0.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4" xfId="0" applyBorder="1"/>
    <xf numFmtId="0" fontId="0" fillId="0" borderId="7" xfId="0" applyBorder="1"/>
    <xf numFmtId="0" fontId="0" fillId="0" borderId="6" xfId="0" applyBorder="1"/>
    <xf numFmtId="0" fontId="0" fillId="2" borderId="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64" fontId="0" fillId="3" borderId="4" xfId="1" applyNumberFormat="1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65" fontId="0" fillId="3" borderId="4" xfId="1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11" xfId="0" applyBorder="1"/>
    <xf numFmtId="0" fontId="2" fillId="4" borderId="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2" xfId="0" applyFont="1" applyFill="1" applyBorder="1"/>
    <xf numFmtId="0" fontId="0" fillId="0" borderId="9" xfId="0" applyBorder="1"/>
    <xf numFmtId="0" fontId="0" fillId="0" borderId="8" xfId="0" applyBorder="1"/>
    <xf numFmtId="0" fontId="0" fillId="0" borderId="3" xfId="0" applyBorder="1"/>
    <xf numFmtId="0" fontId="0" fillId="0" borderId="13" xfId="0" applyBorder="1"/>
    <xf numFmtId="0" fontId="2" fillId="6" borderId="1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164" fontId="0" fillId="9" borderId="4" xfId="1" applyNumberFormat="1" applyFont="1" applyFill="1" applyBorder="1" applyAlignment="1">
      <alignment horizontal="center"/>
    </xf>
    <xf numFmtId="167" fontId="0" fillId="9" borderId="4" xfId="2" applyNumberFormat="1" applyFont="1" applyFill="1" applyBorder="1" applyAlignment="1">
      <alignment horizontal="center"/>
    </xf>
    <xf numFmtId="179" fontId="0" fillId="9" borderId="8" xfId="0" applyNumberFormat="1" applyFill="1" applyBorder="1" applyAlignment="1">
      <alignment horizontal="center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D78CD-B43B-8846-AF5A-8F02913B8115}">
  <dimension ref="B3:U138"/>
  <sheetViews>
    <sheetView tabSelected="1" topLeftCell="P28" zoomScale="150" workbookViewId="0">
      <selection activeCell="R43" sqref="R43"/>
    </sheetView>
  </sheetViews>
  <sheetFormatPr baseColWidth="10" defaultRowHeight="16" x14ac:dyDescent="0.2"/>
  <cols>
    <col min="3" max="3" width="12.1640625" customWidth="1"/>
    <col min="4" max="4" width="11.33203125" customWidth="1"/>
    <col min="5" max="5" width="13.33203125" customWidth="1"/>
    <col min="6" max="6" width="13" customWidth="1"/>
    <col min="9" max="9" width="13.6640625" customWidth="1"/>
    <col min="13" max="13" width="12.1640625" bestFit="1" customWidth="1"/>
    <col min="17" max="17" width="17.1640625" customWidth="1"/>
    <col min="21" max="21" width="13.33203125" bestFit="1" customWidth="1"/>
  </cols>
  <sheetData>
    <row r="3" spans="2:19" ht="17" thickBot="1" x14ac:dyDescent="0.25">
      <c r="C3" t="s">
        <v>8</v>
      </c>
      <c r="D3" t="s">
        <v>9</v>
      </c>
    </row>
    <row r="4" spans="2:19" ht="17" thickBot="1" x14ac:dyDescent="0.25">
      <c r="B4" s="14" t="s">
        <v>0</v>
      </c>
      <c r="C4" s="2">
        <v>120</v>
      </c>
      <c r="D4" s="3">
        <v>2</v>
      </c>
    </row>
    <row r="6" spans="2:19" ht="17" thickBot="1" x14ac:dyDescent="0.25"/>
    <row r="7" spans="2:19" x14ac:dyDescent="0.2">
      <c r="I7" s="15" t="s">
        <v>0</v>
      </c>
      <c r="J7" s="4">
        <v>2</v>
      </c>
      <c r="L7" s="19" t="s">
        <v>2</v>
      </c>
      <c r="M7" s="20" t="s">
        <v>3</v>
      </c>
      <c r="O7" s="15" t="s">
        <v>0</v>
      </c>
      <c r="P7" s="4">
        <v>2</v>
      </c>
      <c r="R7" s="19" t="s">
        <v>2</v>
      </c>
      <c r="S7" s="20" t="s">
        <v>3</v>
      </c>
    </row>
    <row r="8" spans="2:19" ht="17" thickBot="1" x14ac:dyDescent="0.25">
      <c r="I8" s="16" t="s">
        <v>2</v>
      </c>
      <c r="J8" s="5" t="s">
        <v>4</v>
      </c>
      <c r="L8" s="7">
        <v>0</v>
      </c>
      <c r="M8" s="6">
        <f>(J10^(L8)/E10)*J11</f>
        <v>0.36787944117144233</v>
      </c>
      <c r="O8" s="16" t="s">
        <v>2</v>
      </c>
      <c r="P8" s="5" t="s">
        <v>11</v>
      </c>
      <c r="R8" s="7">
        <v>0</v>
      </c>
      <c r="S8" s="6">
        <f t="shared" ref="S8:S18" si="0">(10^(R8)/E10)*0.0000453999</f>
        <v>4.5399899999999999E-5</v>
      </c>
    </row>
    <row r="9" spans="2:19" x14ac:dyDescent="0.2">
      <c r="B9" s="22" t="s">
        <v>2</v>
      </c>
      <c r="C9" s="23" t="s">
        <v>1</v>
      </c>
      <c r="D9" s="23" t="s">
        <v>5</v>
      </c>
      <c r="E9" s="23" t="s">
        <v>6</v>
      </c>
      <c r="F9" s="24" t="s">
        <v>7</v>
      </c>
      <c r="I9" s="16" t="s">
        <v>1</v>
      </c>
      <c r="J9" s="5">
        <v>0.5</v>
      </c>
      <c r="L9" s="7">
        <v>1</v>
      </c>
      <c r="M9" s="6">
        <f>(J10^(L9)/E11)*J11</f>
        <v>0.36787944117144233</v>
      </c>
      <c r="O9" s="16" t="s">
        <v>1</v>
      </c>
      <c r="P9" s="5">
        <v>5</v>
      </c>
      <c r="R9" s="7">
        <v>1</v>
      </c>
      <c r="S9" s="6">
        <f t="shared" si="0"/>
        <v>4.5399899999999996E-4</v>
      </c>
    </row>
    <row r="10" spans="2:19" x14ac:dyDescent="0.2">
      <c r="B10" s="25">
        <v>0</v>
      </c>
      <c r="C10" s="21">
        <v>0</v>
      </c>
      <c r="D10" s="21">
        <f>B10*C10</f>
        <v>0</v>
      </c>
      <c r="E10" s="21">
        <f t="shared" ref="E10:E41" si="1">FACT(B10)</f>
        <v>1</v>
      </c>
      <c r="F10" s="26">
        <f>EXP(-D10)</f>
        <v>1</v>
      </c>
      <c r="I10" s="17" t="s">
        <v>5</v>
      </c>
      <c r="J10" s="6">
        <f>J7*J9</f>
        <v>1</v>
      </c>
      <c r="L10" s="7">
        <v>2</v>
      </c>
      <c r="M10" s="6">
        <f>(J10^(L10)/E12)*J11</f>
        <v>0.18393972058572117</v>
      </c>
      <c r="O10" s="17" t="s">
        <v>5</v>
      </c>
      <c r="P10" s="6">
        <f>P7*P9</f>
        <v>10</v>
      </c>
      <c r="R10" s="7">
        <v>2</v>
      </c>
      <c r="S10" s="6">
        <f t="shared" si="0"/>
        <v>2.2699949999999999E-3</v>
      </c>
    </row>
    <row r="11" spans="2:19" ht="17" thickBot="1" x14ac:dyDescent="0.25">
      <c r="B11" s="25">
        <v>1</v>
      </c>
      <c r="C11" s="21">
        <v>0.5</v>
      </c>
      <c r="D11" s="21">
        <f t="shared" ref="D11:D74" si="2">B11*C11</f>
        <v>0.5</v>
      </c>
      <c r="E11" s="21">
        <f t="shared" si="1"/>
        <v>1</v>
      </c>
      <c r="F11" s="26">
        <f t="shared" ref="F11:F74" si="3">EXP(-D11)</f>
        <v>0.60653065971263342</v>
      </c>
      <c r="I11" s="18" t="s">
        <v>10</v>
      </c>
      <c r="J11" s="1">
        <f>EXP(-J10)</f>
        <v>0.36787944117144233</v>
      </c>
      <c r="L11" s="12" t="s">
        <v>14</v>
      </c>
      <c r="M11" s="13">
        <f>SUM(M8:M10)</f>
        <v>0.91969860292860584</v>
      </c>
      <c r="O11" s="18" t="s">
        <v>10</v>
      </c>
      <c r="P11" s="1">
        <f>EXP(-P10)</f>
        <v>4.5399929762484854E-5</v>
      </c>
      <c r="R11" s="7">
        <v>3</v>
      </c>
      <c r="S11" s="6">
        <f t="shared" si="0"/>
        <v>7.5666499999999994E-3</v>
      </c>
    </row>
    <row r="12" spans="2:19" x14ac:dyDescent="0.2">
      <c r="B12" s="25">
        <v>2</v>
      </c>
      <c r="C12" s="21">
        <v>1</v>
      </c>
      <c r="D12" s="21">
        <f t="shared" si="2"/>
        <v>2</v>
      </c>
      <c r="E12" s="21">
        <f t="shared" si="1"/>
        <v>2</v>
      </c>
      <c r="F12" s="26">
        <f>EXP(-D12)</f>
        <v>0.1353352832366127</v>
      </c>
      <c r="R12" s="7">
        <v>4</v>
      </c>
      <c r="S12" s="6">
        <f t="shared" si="0"/>
        <v>1.8916624999999999E-2</v>
      </c>
    </row>
    <row r="13" spans="2:19" x14ac:dyDescent="0.2">
      <c r="B13" s="25">
        <v>3</v>
      </c>
      <c r="C13" s="21">
        <v>1.5</v>
      </c>
      <c r="D13" s="21">
        <f t="shared" si="2"/>
        <v>4.5</v>
      </c>
      <c r="E13" s="21">
        <f t="shared" si="1"/>
        <v>6</v>
      </c>
      <c r="F13" s="26">
        <f t="shared" si="3"/>
        <v>1.1108996538242306E-2</v>
      </c>
      <c r="R13" s="7">
        <v>5</v>
      </c>
      <c r="S13" s="6">
        <f t="shared" si="0"/>
        <v>3.7833249999999999E-2</v>
      </c>
    </row>
    <row r="14" spans="2:19" ht="17" thickBot="1" x14ac:dyDescent="0.25">
      <c r="B14" s="25">
        <v>4</v>
      </c>
      <c r="C14" s="21">
        <v>2</v>
      </c>
      <c r="D14" s="21">
        <f t="shared" si="2"/>
        <v>8</v>
      </c>
      <c r="E14" s="21">
        <f t="shared" si="1"/>
        <v>24</v>
      </c>
      <c r="F14" s="26">
        <f t="shared" si="3"/>
        <v>3.3546262790251185E-4</v>
      </c>
      <c r="R14" s="7">
        <v>6</v>
      </c>
      <c r="S14" s="6">
        <f t="shared" si="0"/>
        <v>6.3055416666666669E-2</v>
      </c>
    </row>
    <row r="15" spans="2:19" x14ac:dyDescent="0.2">
      <c r="B15" s="25">
        <v>5</v>
      </c>
      <c r="C15" s="21">
        <v>2.5</v>
      </c>
      <c r="D15" s="21">
        <f t="shared" si="2"/>
        <v>12.5</v>
      </c>
      <c r="E15" s="21">
        <f t="shared" si="1"/>
        <v>120</v>
      </c>
      <c r="F15" s="26">
        <f t="shared" si="3"/>
        <v>3.7266531720786709E-6</v>
      </c>
      <c r="I15" s="15" t="s">
        <v>0</v>
      </c>
      <c r="J15" s="4">
        <v>2</v>
      </c>
      <c r="L15" s="19" t="s">
        <v>2</v>
      </c>
      <c r="M15" s="20" t="s">
        <v>3</v>
      </c>
      <c r="R15" s="7">
        <v>7</v>
      </c>
      <c r="S15" s="6">
        <f t="shared" si="0"/>
        <v>9.0079166666666668E-2</v>
      </c>
    </row>
    <row r="16" spans="2:19" x14ac:dyDescent="0.2">
      <c r="B16" s="25">
        <v>6</v>
      </c>
      <c r="C16" s="21">
        <v>3</v>
      </c>
      <c r="D16" s="21">
        <f t="shared" si="2"/>
        <v>18</v>
      </c>
      <c r="E16" s="21">
        <f t="shared" si="1"/>
        <v>720</v>
      </c>
      <c r="F16" s="26">
        <f t="shared" si="3"/>
        <v>1.5229979744712629E-8</v>
      </c>
      <c r="I16" s="16" t="s">
        <v>2</v>
      </c>
      <c r="J16" s="5" t="s">
        <v>12</v>
      </c>
      <c r="L16" s="7">
        <v>0</v>
      </c>
      <c r="M16" s="6">
        <f t="shared" ref="M16:M47" si="4">(120^(L16)/E10)*7.66765E-53</f>
        <v>7.6676499999999999E-53</v>
      </c>
      <c r="R16" s="7">
        <v>8</v>
      </c>
      <c r="S16" s="6">
        <f t="shared" si="0"/>
        <v>0.11259895833333333</v>
      </c>
    </row>
    <row r="17" spans="2:21" x14ac:dyDescent="0.2">
      <c r="B17" s="25">
        <v>7</v>
      </c>
      <c r="C17" s="21">
        <v>3.5</v>
      </c>
      <c r="D17" s="21">
        <f t="shared" si="2"/>
        <v>24.5</v>
      </c>
      <c r="E17" s="21">
        <f t="shared" si="1"/>
        <v>5040</v>
      </c>
      <c r="F17" s="26">
        <f t="shared" si="3"/>
        <v>2.289734845645553E-11</v>
      </c>
      <c r="I17" s="16" t="s">
        <v>1</v>
      </c>
      <c r="J17" s="5">
        <v>60</v>
      </c>
      <c r="L17" s="7">
        <v>1</v>
      </c>
      <c r="M17" s="6">
        <f t="shared" si="4"/>
        <v>9.2011799999999999E-51</v>
      </c>
      <c r="R17" s="7">
        <v>9</v>
      </c>
      <c r="S17" s="6">
        <f t="shared" si="0"/>
        <v>0.1251099537037037</v>
      </c>
    </row>
    <row r="18" spans="2:21" x14ac:dyDescent="0.2">
      <c r="B18" s="25">
        <v>8</v>
      </c>
      <c r="C18" s="21">
        <v>4</v>
      </c>
      <c r="D18" s="21">
        <f t="shared" si="2"/>
        <v>32</v>
      </c>
      <c r="E18" s="21">
        <f t="shared" si="1"/>
        <v>40320</v>
      </c>
      <c r="F18" s="26">
        <f t="shared" si="3"/>
        <v>1.2664165549094176E-14</v>
      </c>
      <c r="I18" s="17" t="s">
        <v>5</v>
      </c>
      <c r="J18" s="6">
        <f>J15*J17</f>
        <v>120</v>
      </c>
      <c r="L18" s="7">
        <v>2</v>
      </c>
      <c r="M18" s="6">
        <f t="shared" si="4"/>
        <v>5.5207079999999995E-49</v>
      </c>
      <c r="R18" s="7">
        <v>10</v>
      </c>
      <c r="S18" s="6">
        <f t="shared" si="0"/>
        <v>0.1251099537037037</v>
      </c>
    </row>
    <row r="19" spans="2:21" ht="17" thickBot="1" x14ac:dyDescent="0.25">
      <c r="B19" s="25">
        <v>9</v>
      </c>
      <c r="C19" s="21">
        <v>4.5</v>
      </c>
      <c r="D19" s="21">
        <f t="shared" si="2"/>
        <v>40.5</v>
      </c>
      <c r="E19" s="21">
        <f t="shared" si="1"/>
        <v>362880</v>
      </c>
      <c r="F19" s="26">
        <f t="shared" si="3"/>
        <v>2.576757109154981E-18</v>
      </c>
      <c r="I19" s="18" t="s">
        <v>10</v>
      </c>
      <c r="J19" s="1">
        <f>EXP(-J18)</f>
        <v>7.6676480737219997E-53</v>
      </c>
      <c r="L19" s="7">
        <v>3</v>
      </c>
      <c r="M19" s="6">
        <f t="shared" si="4"/>
        <v>2.2082831999999998E-47</v>
      </c>
      <c r="R19" s="8" t="s">
        <v>13</v>
      </c>
      <c r="S19" s="9">
        <f>SUM(S8:S18)</f>
        <v>0.58303936797407407</v>
      </c>
    </row>
    <row r="20" spans="2:21" ht="17" thickBot="1" x14ac:dyDescent="0.25">
      <c r="B20" s="25">
        <v>10</v>
      </c>
      <c r="C20" s="21">
        <v>5</v>
      </c>
      <c r="D20" s="21">
        <f t="shared" si="2"/>
        <v>50</v>
      </c>
      <c r="E20" s="21">
        <f t="shared" si="1"/>
        <v>3628800</v>
      </c>
      <c r="F20" s="26">
        <f t="shared" si="3"/>
        <v>1.9287498479639178E-22</v>
      </c>
      <c r="L20" s="7">
        <v>4</v>
      </c>
      <c r="M20" s="6">
        <f t="shared" si="4"/>
        <v>6.6248495999999998E-46</v>
      </c>
      <c r="R20" s="10" t="s">
        <v>14</v>
      </c>
      <c r="S20" s="11">
        <f>1-S19</f>
        <v>0.41696063202592593</v>
      </c>
    </row>
    <row r="21" spans="2:21" x14ac:dyDescent="0.2">
      <c r="B21" s="25">
        <v>11</v>
      </c>
      <c r="C21" s="21">
        <v>5.5</v>
      </c>
      <c r="D21" s="21">
        <f t="shared" si="2"/>
        <v>60.5</v>
      </c>
      <c r="E21" s="21">
        <f t="shared" si="1"/>
        <v>39916800</v>
      </c>
      <c r="F21" s="26">
        <f t="shared" si="3"/>
        <v>5.3110922496790952E-27</v>
      </c>
      <c r="L21" s="7">
        <v>5</v>
      </c>
      <c r="M21" s="6">
        <f t="shared" si="4"/>
        <v>1.5899639039999999E-44</v>
      </c>
    </row>
    <row r="22" spans="2:21" x14ac:dyDescent="0.2">
      <c r="B22" s="25">
        <v>12</v>
      </c>
      <c r="C22" s="21">
        <v>6</v>
      </c>
      <c r="D22" s="21">
        <f t="shared" si="2"/>
        <v>72</v>
      </c>
      <c r="E22" s="21">
        <f t="shared" si="1"/>
        <v>479001600</v>
      </c>
      <c r="F22" s="26">
        <f t="shared" si="3"/>
        <v>5.3801861600211382E-32</v>
      </c>
      <c r="L22" s="7">
        <v>6</v>
      </c>
      <c r="M22" s="6">
        <f t="shared" si="4"/>
        <v>3.1799278079999998E-43</v>
      </c>
    </row>
    <row r="23" spans="2:21" x14ac:dyDescent="0.2">
      <c r="B23" s="25">
        <v>13</v>
      </c>
      <c r="C23" s="21">
        <v>6.5</v>
      </c>
      <c r="D23" s="21">
        <f t="shared" si="2"/>
        <v>84.5</v>
      </c>
      <c r="E23" s="21">
        <f t="shared" si="1"/>
        <v>6227020800</v>
      </c>
      <c r="F23" s="26">
        <f t="shared" si="3"/>
        <v>2.0050087819616541E-37</v>
      </c>
      <c r="L23" s="7">
        <v>7</v>
      </c>
      <c r="M23" s="6">
        <f t="shared" si="4"/>
        <v>5.4513048137142861E-42</v>
      </c>
    </row>
    <row r="24" spans="2:21" x14ac:dyDescent="0.2">
      <c r="B24" s="25">
        <v>14</v>
      </c>
      <c r="C24" s="21">
        <v>7</v>
      </c>
      <c r="D24" s="21">
        <f t="shared" si="2"/>
        <v>98</v>
      </c>
      <c r="E24" s="21">
        <f t="shared" si="1"/>
        <v>87178291200</v>
      </c>
      <c r="F24" s="26">
        <f t="shared" si="3"/>
        <v>2.7487850079102147E-43</v>
      </c>
      <c r="L24" s="7">
        <v>8</v>
      </c>
      <c r="M24" s="6">
        <f t="shared" si="4"/>
        <v>8.1769572205714287E-41</v>
      </c>
    </row>
    <row r="25" spans="2:21" x14ac:dyDescent="0.2">
      <c r="B25" s="25">
        <v>15</v>
      </c>
      <c r="C25" s="21">
        <v>7.5</v>
      </c>
      <c r="D25" s="21">
        <f t="shared" si="2"/>
        <v>112.5</v>
      </c>
      <c r="E25" s="21">
        <f t="shared" si="1"/>
        <v>1307674368000</v>
      </c>
      <c r="F25" s="26">
        <f t="shared" si="3"/>
        <v>1.3863432936411706E-49</v>
      </c>
      <c r="L25" s="7">
        <v>9</v>
      </c>
      <c r="M25" s="6">
        <f t="shared" si="4"/>
        <v>1.0902609627428571E-39</v>
      </c>
    </row>
    <row r="26" spans="2:21" ht="17" thickBot="1" x14ac:dyDescent="0.25">
      <c r="B26" s="25">
        <v>16</v>
      </c>
      <c r="C26" s="21">
        <v>8</v>
      </c>
      <c r="D26" s="21">
        <f t="shared" si="2"/>
        <v>128</v>
      </c>
      <c r="E26" s="21">
        <f t="shared" si="1"/>
        <v>20922789888000</v>
      </c>
      <c r="F26" s="26">
        <f t="shared" si="3"/>
        <v>2.5722093726424148E-56</v>
      </c>
      <c r="L26" s="7">
        <v>10</v>
      </c>
      <c r="M26" s="6">
        <f t="shared" si="4"/>
        <v>1.3083131552914287E-38</v>
      </c>
    </row>
    <row r="27" spans="2:21" ht="17" thickBot="1" x14ac:dyDescent="0.25">
      <c r="B27" s="25">
        <v>17</v>
      </c>
      <c r="C27" s="21">
        <v>8.5</v>
      </c>
      <c r="D27" s="21">
        <f t="shared" si="2"/>
        <v>144.5</v>
      </c>
      <c r="E27" s="21">
        <f t="shared" si="1"/>
        <v>355687428096000</v>
      </c>
      <c r="F27" s="26">
        <f t="shared" si="3"/>
        <v>1.7556880978548265E-63</v>
      </c>
      <c r="L27" s="7">
        <v>11</v>
      </c>
      <c r="M27" s="6">
        <f t="shared" si="4"/>
        <v>1.4272507148633767E-37</v>
      </c>
      <c r="O27" s="29" t="s">
        <v>15</v>
      </c>
      <c r="Q27" s="30" t="s">
        <v>0</v>
      </c>
      <c r="R27" s="35">
        <v>4.5</v>
      </c>
      <c r="T27" s="33" t="s">
        <v>2</v>
      </c>
      <c r="U27" s="34" t="s">
        <v>17</v>
      </c>
    </row>
    <row r="28" spans="2:21" x14ac:dyDescent="0.2">
      <c r="B28" s="25">
        <v>18</v>
      </c>
      <c r="C28" s="21">
        <v>9</v>
      </c>
      <c r="D28" s="21">
        <f t="shared" si="2"/>
        <v>162</v>
      </c>
      <c r="E28" s="21">
        <f t="shared" si="1"/>
        <v>6402373705728000</v>
      </c>
      <c r="F28" s="26">
        <f t="shared" si="3"/>
        <v>4.4085313314632264E-71</v>
      </c>
      <c r="L28" s="7">
        <v>12</v>
      </c>
      <c r="M28" s="6">
        <f t="shared" si="4"/>
        <v>1.4272507148633765E-36</v>
      </c>
      <c r="Q28" s="31" t="s">
        <v>2</v>
      </c>
      <c r="R28" s="6" t="s">
        <v>18</v>
      </c>
      <c r="T28" s="7">
        <v>0</v>
      </c>
      <c r="U28" s="6">
        <f>(R30^(T28)/E10)*R31</f>
        <v>0.40656965974059911</v>
      </c>
    </row>
    <row r="29" spans="2:21" x14ac:dyDescent="0.2">
      <c r="B29" s="25">
        <v>19</v>
      </c>
      <c r="C29" s="21">
        <v>9.5</v>
      </c>
      <c r="D29" s="21">
        <f t="shared" si="2"/>
        <v>180.5</v>
      </c>
      <c r="E29" s="21">
        <f t="shared" si="1"/>
        <v>1.21645100408832E+17</v>
      </c>
      <c r="F29" s="26">
        <f t="shared" si="3"/>
        <v>4.0723586257611754E-79</v>
      </c>
      <c r="L29" s="7">
        <v>13</v>
      </c>
      <c r="M29" s="6">
        <f t="shared" si="4"/>
        <v>1.3174621983354246E-35</v>
      </c>
      <c r="Q29" s="31" t="s">
        <v>1</v>
      </c>
      <c r="R29" s="6">
        <v>0.2</v>
      </c>
      <c r="T29" s="7">
        <v>1</v>
      </c>
      <c r="U29" s="6">
        <f>(R30^(T29)/E11)*R31</f>
        <v>0.36591269376653923</v>
      </c>
    </row>
    <row r="30" spans="2:21" x14ac:dyDescent="0.2">
      <c r="B30" s="25">
        <v>20</v>
      </c>
      <c r="C30" s="21">
        <v>10</v>
      </c>
      <c r="D30" s="21">
        <f t="shared" si="2"/>
        <v>200</v>
      </c>
      <c r="E30" s="21">
        <f t="shared" si="1"/>
        <v>2.43290200817664E+18</v>
      </c>
      <c r="F30" s="26">
        <f t="shared" si="3"/>
        <v>1.3838965267367376E-87</v>
      </c>
      <c r="L30" s="7">
        <v>14</v>
      </c>
      <c r="M30" s="6">
        <f t="shared" si="4"/>
        <v>1.1292533128589353E-34</v>
      </c>
      <c r="Q30" s="31" t="s">
        <v>5</v>
      </c>
      <c r="R30" s="6">
        <f>R27*R29</f>
        <v>0.9</v>
      </c>
      <c r="T30" s="7">
        <v>2</v>
      </c>
      <c r="U30" s="6">
        <f>(R30^(T30)/E12)*R31</f>
        <v>0.16466071219494266</v>
      </c>
    </row>
    <row r="31" spans="2:21" ht="17" thickBot="1" x14ac:dyDescent="0.25">
      <c r="B31" s="25">
        <v>21</v>
      </c>
      <c r="C31" s="21">
        <v>10.5</v>
      </c>
      <c r="D31" s="21">
        <f t="shared" si="2"/>
        <v>220.5</v>
      </c>
      <c r="E31" s="21">
        <f t="shared" si="1"/>
        <v>5.109094217170944E+19</v>
      </c>
      <c r="F31" s="26">
        <f t="shared" si="3"/>
        <v>1.7300822096825899E-96</v>
      </c>
      <c r="L31" s="7">
        <v>15</v>
      </c>
      <c r="M31" s="6">
        <f t="shared" si="4"/>
        <v>9.0340265028714824E-34</v>
      </c>
      <c r="Q31" s="32" t="s">
        <v>16</v>
      </c>
      <c r="R31" s="36">
        <f>EXP(-R30)</f>
        <v>0.40656965974059911</v>
      </c>
      <c r="T31" s="7"/>
      <c r="U31" s="6"/>
    </row>
    <row r="32" spans="2:21" x14ac:dyDescent="0.2">
      <c r="B32" s="25">
        <v>22</v>
      </c>
      <c r="C32" s="21">
        <v>11</v>
      </c>
      <c r="D32" s="21">
        <f t="shared" si="2"/>
        <v>242</v>
      </c>
      <c r="E32" s="21">
        <f t="shared" si="1"/>
        <v>1.1240007277776077E+21</v>
      </c>
      <c r="F32" s="26">
        <f t="shared" si="3"/>
        <v>7.9567438919514001E-106</v>
      </c>
      <c r="L32" s="7">
        <v>16</v>
      </c>
      <c r="M32" s="6">
        <f t="shared" si="4"/>
        <v>6.7755198771536133E-33</v>
      </c>
      <c r="T32" s="38" t="s">
        <v>13</v>
      </c>
      <c r="U32" s="37">
        <f>SUM(U28:U30)</f>
        <v>0.93714306570208095</v>
      </c>
    </row>
    <row r="33" spans="2:21" ht="17" thickBot="1" x14ac:dyDescent="0.25">
      <c r="B33" s="25">
        <v>23</v>
      </c>
      <c r="C33" s="21">
        <v>11.5</v>
      </c>
      <c r="D33" s="21">
        <f t="shared" si="2"/>
        <v>264.5</v>
      </c>
      <c r="E33" s="21">
        <f t="shared" si="1"/>
        <v>2.5852016738884978E+22</v>
      </c>
      <c r="F33" s="26">
        <f t="shared" si="3"/>
        <v>1.3461998461573202E-115</v>
      </c>
      <c r="L33" s="7">
        <v>17</v>
      </c>
      <c r="M33" s="6">
        <f t="shared" si="4"/>
        <v>4.7827199132849026E-32</v>
      </c>
      <c r="T33" s="39" t="s">
        <v>14</v>
      </c>
      <c r="U33" s="41">
        <f>1-U32</f>
        <v>6.2856934297919054E-2</v>
      </c>
    </row>
    <row r="34" spans="2:21" x14ac:dyDescent="0.2">
      <c r="B34" s="25">
        <v>24</v>
      </c>
      <c r="C34" s="21">
        <v>12</v>
      </c>
      <c r="D34" s="21">
        <f t="shared" si="2"/>
        <v>288</v>
      </c>
      <c r="E34" s="21">
        <f t="shared" si="1"/>
        <v>6.2044840173323941E+23</v>
      </c>
      <c r="F34" s="26">
        <f t="shared" si="3"/>
        <v>8.3789425338193693E-126</v>
      </c>
      <c r="L34" s="7">
        <v>18</v>
      </c>
      <c r="M34" s="6">
        <f t="shared" si="4"/>
        <v>3.1884799421899353E-31</v>
      </c>
    </row>
    <row r="35" spans="2:21" x14ac:dyDescent="0.2">
      <c r="B35" s="25">
        <v>25</v>
      </c>
      <c r="C35" s="21">
        <v>12.5</v>
      </c>
      <c r="D35" s="21">
        <f t="shared" si="2"/>
        <v>312.5</v>
      </c>
      <c r="E35" s="21">
        <f t="shared" si="1"/>
        <v>1.5511210043330984E+25</v>
      </c>
      <c r="F35" s="26">
        <f t="shared" si="3"/>
        <v>1.918555668934785E-136</v>
      </c>
      <c r="L35" s="7">
        <v>19</v>
      </c>
      <c r="M35" s="6">
        <f t="shared" si="4"/>
        <v>2.0137768055936435E-30</v>
      </c>
    </row>
    <row r="36" spans="2:21" x14ac:dyDescent="0.2">
      <c r="B36" s="25">
        <v>26</v>
      </c>
      <c r="C36" s="21">
        <v>13</v>
      </c>
      <c r="D36" s="21">
        <f t="shared" si="2"/>
        <v>338</v>
      </c>
      <c r="E36" s="21">
        <f t="shared" si="1"/>
        <v>4.0329146112660572E+26</v>
      </c>
      <c r="F36" s="26">
        <f t="shared" si="3"/>
        <v>1.6160884138202511E-147</v>
      </c>
      <c r="L36" s="7">
        <v>20</v>
      </c>
      <c r="M36" s="6">
        <f t="shared" si="4"/>
        <v>1.208266083356186E-29</v>
      </c>
    </row>
    <row r="37" spans="2:21" x14ac:dyDescent="0.2">
      <c r="B37" s="25">
        <v>27</v>
      </c>
      <c r="C37" s="21">
        <v>13.5</v>
      </c>
      <c r="D37" s="21">
        <f t="shared" si="2"/>
        <v>364.5</v>
      </c>
      <c r="E37" s="21">
        <f t="shared" si="1"/>
        <v>1.0888869450418352E+28</v>
      </c>
      <c r="F37" s="26">
        <f t="shared" si="3"/>
        <v>5.0079657066127921E-159</v>
      </c>
      <c r="L37" s="7">
        <v>21</v>
      </c>
      <c r="M37" s="6">
        <f t="shared" si="4"/>
        <v>6.904377619178205E-29</v>
      </c>
    </row>
    <row r="38" spans="2:21" x14ac:dyDescent="0.2">
      <c r="B38" s="25">
        <v>28</v>
      </c>
      <c r="C38" s="21">
        <v>14</v>
      </c>
      <c r="D38" s="21">
        <f t="shared" si="2"/>
        <v>392</v>
      </c>
      <c r="E38" s="21">
        <f t="shared" si="1"/>
        <v>3.048883446117138E+29</v>
      </c>
      <c r="F38" s="26">
        <f t="shared" si="3"/>
        <v>5.7090401058641008E-171</v>
      </c>
      <c r="L38" s="7">
        <v>22</v>
      </c>
      <c r="M38" s="6">
        <f t="shared" si="4"/>
        <v>3.7660241559153843E-28</v>
      </c>
    </row>
    <row r="39" spans="2:21" ht="17" thickBot="1" x14ac:dyDescent="0.25">
      <c r="B39" s="25">
        <v>29</v>
      </c>
      <c r="C39" s="21">
        <v>14.5</v>
      </c>
      <c r="D39" s="21">
        <f t="shared" si="2"/>
        <v>420.5</v>
      </c>
      <c r="E39" s="21">
        <f t="shared" si="1"/>
        <v>8.8417619937397008E+30</v>
      </c>
      <c r="F39" s="26">
        <f t="shared" si="3"/>
        <v>2.394254760948756E-183</v>
      </c>
      <c r="L39" s="7">
        <v>23</v>
      </c>
      <c r="M39" s="6">
        <f t="shared" si="4"/>
        <v>1.9648821683036791E-27</v>
      </c>
    </row>
    <row r="40" spans="2:21" x14ac:dyDescent="0.2">
      <c r="B40" s="25">
        <v>30</v>
      </c>
      <c r="C40" s="21">
        <v>15</v>
      </c>
      <c r="D40" s="21">
        <f t="shared" si="2"/>
        <v>450</v>
      </c>
      <c r="E40" s="21">
        <f t="shared" si="1"/>
        <v>2.652528598121911E+32</v>
      </c>
      <c r="F40" s="26">
        <f t="shared" si="3"/>
        <v>3.6938830684872561E-196</v>
      </c>
      <c r="L40" s="7">
        <v>24</v>
      </c>
      <c r="M40" s="6">
        <f t="shared" si="4"/>
        <v>9.8244108415183953E-27</v>
      </c>
      <c r="Q40" s="30" t="s">
        <v>0</v>
      </c>
      <c r="R40" s="35">
        <f>4600/3600</f>
        <v>1.2777777777777777</v>
      </c>
      <c r="T40" s="33" t="s">
        <v>2</v>
      </c>
      <c r="U40" s="34" t="s">
        <v>17</v>
      </c>
    </row>
    <row r="41" spans="2:21" x14ac:dyDescent="0.2">
      <c r="B41" s="25">
        <v>31</v>
      </c>
      <c r="C41" s="21">
        <v>15.5</v>
      </c>
      <c r="D41" s="21">
        <f t="shared" si="2"/>
        <v>480.5</v>
      </c>
      <c r="E41" s="21">
        <f t="shared" si="1"/>
        <v>8.2228386541779236E+33</v>
      </c>
      <c r="F41" s="26">
        <f t="shared" si="3"/>
        <v>2.0965317582885168E-209</v>
      </c>
      <c r="L41" s="7">
        <v>25</v>
      </c>
      <c r="M41" s="6">
        <f t="shared" si="4"/>
        <v>4.7157172039288302E-26</v>
      </c>
      <c r="Q41" s="31" t="s">
        <v>2</v>
      </c>
      <c r="R41" s="6" t="s">
        <v>19</v>
      </c>
      <c r="T41" s="7">
        <v>0</v>
      </c>
      <c r="U41" s="6">
        <f>(R43^(T41)/E10)*R44</f>
        <v>0.14709646739297685</v>
      </c>
    </row>
    <row r="42" spans="2:21" x14ac:dyDescent="0.2">
      <c r="B42" s="25">
        <v>32</v>
      </c>
      <c r="C42" s="21">
        <v>16</v>
      </c>
      <c r="D42" s="21">
        <f t="shared" si="2"/>
        <v>512</v>
      </c>
      <c r="E42" s="21">
        <f t="shared" ref="E42:E73" si="5">FACT(B42)</f>
        <v>2.6313083693369355E+35</v>
      </c>
      <c r="F42" s="26">
        <f t="shared" si="3"/>
        <v>4.3774910370530512E-223</v>
      </c>
      <c r="L42" s="7">
        <v>26</v>
      </c>
      <c r="M42" s="6">
        <f t="shared" si="4"/>
        <v>2.1764848633517668E-25</v>
      </c>
      <c r="Q42" s="31" t="s">
        <v>1</v>
      </c>
      <c r="R42" s="6">
        <v>1.5</v>
      </c>
      <c r="T42" s="7">
        <v>1</v>
      </c>
      <c r="U42" s="6">
        <f>(R43^(T42)/E11)*R44</f>
        <v>0.28193489583653897</v>
      </c>
    </row>
    <row r="43" spans="2:21" x14ac:dyDescent="0.2">
      <c r="B43" s="25">
        <v>33</v>
      </c>
      <c r="C43" s="21">
        <v>16.5</v>
      </c>
      <c r="D43" s="21">
        <f t="shared" si="2"/>
        <v>544.5</v>
      </c>
      <c r="E43" s="21">
        <f t="shared" si="5"/>
        <v>8.6833176188118895E+36</v>
      </c>
      <c r="F43" s="26">
        <f t="shared" si="3"/>
        <v>3.3624404663242076E-237</v>
      </c>
      <c r="L43" s="7">
        <v>27</v>
      </c>
      <c r="M43" s="6">
        <f t="shared" si="4"/>
        <v>9.6732660593411883E-25</v>
      </c>
      <c r="Q43" s="31" t="s">
        <v>5</v>
      </c>
      <c r="R43" s="6">
        <f>R40*R42</f>
        <v>1.9166666666666665</v>
      </c>
      <c r="T43" s="7">
        <v>2</v>
      </c>
      <c r="U43" s="6">
        <f>(R43^(T43)/E12)*R44</f>
        <v>0.2701876085100165</v>
      </c>
    </row>
    <row r="44" spans="2:21" ht="17" thickBot="1" x14ac:dyDescent="0.25">
      <c r="B44" s="25">
        <v>34</v>
      </c>
      <c r="C44" s="21">
        <v>17</v>
      </c>
      <c r="D44" s="21">
        <f t="shared" si="2"/>
        <v>578</v>
      </c>
      <c r="E44" s="21">
        <f t="shared" si="5"/>
        <v>2.9523279903960408E+38</v>
      </c>
      <c r="F44" s="26">
        <f t="shared" si="3"/>
        <v>9.5014406502080427E-252</v>
      </c>
      <c r="L44" s="7">
        <v>28</v>
      </c>
      <c r="M44" s="6">
        <f t="shared" si="4"/>
        <v>4.1456854540033675E-24</v>
      </c>
      <c r="Q44" s="32" t="s">
        <v>16</v>
      </c>
      <c r="R44" s="36">
        <f>EXP(-R43)</f>
        <v>0.14709646739297685</v>
      </c>
      <c r="T44" s="7">
        <v>3</v>
      </c>
      <c r="U44" s="6">
        <f>(R43^(T44)/E13)*R44</f>
        <v>0.1726198609925105</v>
      </c>
    </row>
    <row r="45" spans="2:21" x14ac:dyDescent="0.2">
      <c r="B45" s="25">
        <v>35</v>
      </c>
      <c r="C45" s="21">
        <v>17.5</v>
      </c>
      <c r="D45" s="21">
        <f t="shared" si="2"/>
        <v>612.5</v>
      </c>
      <c r="E45" s="21">
        <f t="shared" si="5"/>
        <v>1.0333147966386144E+40</v>
      </c>
      <c r="F45" s="26">
        <f t="shared" si="3"/>
        <v>9.8771087215198901E-267</v>
      </c>
      <c r="L45" s="7">
        <v>29</v>
      </c>
      <c r="M45" s="6">
        <f t="shared" si="4"/>
        <v>1.7154560499324277E-23</v>
      </c>
      <c r="T45" s="7">
        <v>4</v>
      </c>
      <c r="U45" s="6">
        <f>(R43^(T45)/E14)*R44</f>
        <v>8.2713683392244622E-2</v>
      </c>
    </row>
    <row r="46" spans="2:21" x14ac:dyDescent="0.2">
      <c r="B46" s="25">
        <v>36</v>
      </c>
      <c r="C46" s="21">
        <v>18</v>
      </c>
      <c r="D46" s="21">
        <f t="shared" si="2"/>
        <v>648</v>
      </c>
      <c r="E46" s="21">
        <f t="shared" si="5"/>
        <v>3.7199332678990133E+41</v>
      </c>
      <c r="F46" s="26">
        <f t="shared" si="3"/>
        <v>3.7772499723621244E-282</v>
      </c>
      <c r="L46" s="7">
        <v>30</v>
      </c>
      <c r="M46" s="6">
        <f t="shared" si="4"/>
        <v>6.8618241997297085E-23</v>
      </c>
      <c r="T46" s="7">
        <v>5</v>
      </c>
      <c r="U46" s="6">
        <f>(R43^(T46)/E15)*R44</f>
        <v>3.1706911967027102E-2</v>
      </c>
    </row>
    <row r="47" spans="2:21" x14ac:dyDescent="0.2">
      <c r="B47" s="25">
        <v>37</v>
      </c>
      <c r="C47" s="21">
        <v>18.5</v>
      </c>
      <c r="D47" s="21">
        <f t="shared" si="2"/>
        <v>684.5</v>
      </c>
      <c r="E47" s="21">
        <f t="shared" si="5"/>
        <v>1.3763753091226346E+43</v>
      </c>
      <c r="F47" s="26">
        <f t="shared" si="3"/>
        <v>5.3140683644545394E-298</v>
      </c>
      <c r="L47" s="7">
        <v>31</v>
      </c>
      <c r="M47" s="6">
        <f t="shared" si="4"/>
        <v>2.6561900127985977E-22</v>
      </c>
      <c r="T47" s="7">
        <v>6</v>
      </c>
      <c r="U47" s="6">
        <f>(R43^(T47)/E16)*R44</f>
        <v>1.0128596878355879E-2</v>
      </c>
    </row>
    <row r="48" spans="2:21" x14ac:dyDescent="0.2">
      <c r="B48" s="25">
        <v>38</v>
      </c>
      <c r="C48" s="21">
        <v>19</v>
      </c>
      <c r="D48" s="21">
        <f t="shared" si="2"/>
        <v>722</v>
      </c>
      <c r="E48" s="21">
        <f t="shared" si="5"/>
        <v>5.2302261746660104E+44</v>
      </c>
      <c r="F48" s="26">
        <f t="shared" si="3"/>
        <v>0</v>
      </c>
      <c r="L48" s="7">
        <v>32</v>
      </c>
      <c r="M48" s="6">
        <f t="shared" ref="M48:M79" si="6">(120^(L48)/E42)*7.66765E-53</f>
        <v>9.9607125479947412E-22</v>
      </c>
      <c r="T48" s="7">
        <v>7</v>
      </c>
      <c r="U48" s="6">
        <f>(R43^(T48)/E17)*R44</f>
        <v>2.7733062881212527E-3</v>
      </c>
    </row>
    <row r="49" spans="2:21" x14ac:dyDescent="0.2">
      <c r="B49" s="25">
        <v>39</v>
      </c>
      <c r="C49" s="21">
        <v>19.5</v>
      </c>
      <c r="D49" s="21">
        <f t="shared" si="2"/>
        <v>760.5</v>
      </c>
      <c r="E49" s="21">
        <f t="shared" si="5"/>
        <v>2.0397882081197447E+46</v>
      </c>
      <c r="F49" s="26">
        <f t="shared" si="3"/>
        <v>0</v>
      </c>
      <c r="L49" s="7">
        <v>33</v>
      </c>
      <c r="M49" s="6">
        <f t="shared" si="6"/>
        <v>3.6220772901799048E-21</v>
      </c>
      <c r="T49" s="38" t="s">
        <v>13</v>
      </c>
      <c r="U49" s="42">
        <f>SUM(U42:U48)</f>
        <v>0.85206486386481473</v>
      </c>
    </row>
    <row r="50" spans="2:21" ht="17" thickBot="1" x14ac:dyDescent="0.25">
      <c r="B50" s="25">
        <v>40</v>
      </c>
      <c r="C50" s="21">
        <v>20</v>
      </c>
      <c r="D50" s="21">
        <f t="shared" si="2"/>
        <v>800</v>
      </c>
      <c r="E50" s="21">
        <f t="shared" si="5"/>
        <v>8.1591528324789801E+47</v>
      </c>
      <c r="F50" s="26">
        <f t="shared" si="3"/>
        <v>0</v>
      </c>
      <c r="L50" s="7">
        <v>34</v>
      </c>
      <c r="M50" s="6">
        <f t="shared" si="6"/>
        <v>1.2783802200634964E-20</v>
      </c>
      <c r="T50" s="39" t="s">
        <v>14</v>
      </c>
      <c r="U50" s="40">
        <f>U49</f>
        <v>0.85206486386481473</v>
      </c>
    </row>
    <row r="51" spans="2:21" x14ac:dyDescent="0.2">
      <c r="B51" s="25">
        <v>41</v>
      </c>
      <c r="C51" s="21">
        <v>20.5</v>
      </c>
      <c r="D51" s="21">
        <f t="shared" si="2"/>
        <v>840.5</v>
      </c>
      <c r="E51" s="21">
        <f t="shared" si="5"/>
        <v>3.3452526613163798E+49</v>
      </c>
      <c r="F51" s="26">
        <f t="shared" si="3"/>
        <v>0</v>
      </c>
      <c r="L51" s="7">
        <v>35</v>
      </c>
      <c r="M51" s="6">
        <f t="shared" si="6"/>
        <v>4.383017897360559E-20</v>
      </c>
    </row>
    <row r="52" spans="2:21" x14ac:dyDescent="0.2">
      <c r="B52" s="25">
        <v>42</v>
      </c>
      <c r="C52" s="21">
        <v>21</v>
      </c>
      <c r="D52" s="21">
        <f t="shared" si="2"/>
        <v>882</v>
      </c>
      <c r="E52" s="21">
        <f t="shared" si="5"/>
        <v>1.4050061177528801E+51</v>
      </c>
      <c r="F52" s="26">
        <f t="shared" si="3"/>
        <v>0</v>
      </c>
      <c r="L52" s="7">
        <v>36</v>
      </c>
      <c r="M52" s="6">
        <f t="shared" si="6"/>
        <v>1.4610059657868525E-19</v>
      </c>
    </row>
    <row r="53" spans="2:21" x14ac:dyDescent="0.2">
      <c r="B53" s="25">
        <v>43</v>
      </c>
      <c r="C53" s="21">
        <v>21.5</v>
      </c>
      <c r="D53" s="21">
        <f t="shared" si="2"/>
        <v>924.5</v>
      </c>
      <c r="E53" s="21">
        <f t="shared" si="5"/>
        <v>6.0415263063373845E+52</v>
      </c>
      <c r="F53" s="26">
        <f t="shared" si="3"/>
        <v>0</v>
      </c>
      <c r="L53" s="7">
        <v>37</v>
      </c>
      <c r="M53" s="6">
        <f t="shared" si="6"/>
        <v>4.7383977268762796E-19</v>
      </c>
    </row>
    <row r="54" spans="2:21" x14ac:dyDescent="0.2">
      <c r="B54" s="25">
        <v>44</v>
      </c>
      <c r="C54" s="21">
        <v>22</v>
      </c>
      <c r="D54" s="21">
        <f t="shared" si="2"/>
        <v>968</v>
      </c>
      <c r="E54" s="21">
        <f t="shared" si="5"/>
        <v>2.6582715747884495E+54</v>
      </c>
      <c r="F54" s="26">
        <f t="shared" si="3"/>
        <v>0</v>
      </c>
      <c r="L54" s="7">
        <v>38</v>
      </c>
      <c r="M54" s="6">
        <f t="shared" si="6"/>
        <v>1.4963361242767199E-18</v>
      </c>
    </row>
    <row r="55" spans="2:21" x14ac:dyDescent="0.2">
      <c r="B55" s="25">
        <v>45</v>
      </c>
      <c r="C55" s="21">
        <v>22.5</v>
      </c>
      <c r="D55" s="21">
        <f t="shared" si="2"/>
        <v>1012.5</v>
      </c>
      <c r="E55" s="21">
        <f t="shared" si="5"/>
        <v>1.1962222086548021E+56</v>
      </c>
      <c r="F55" s="26">
        <f t="shared" si="3"/>
        <v>0</v>
      </c>
      <c r="L55" s="7">
        <v>39</v>
      </c>
      <c r="M55" s="6">
        <f t="shared" si="6"/>
        <v>4.6041111516206761E-18</v>
      </c>
    </row>
    <row r="56" spans="2:21" x14ac:dyDescent="0.2">
      <c r="B56" s="25">
        <v>46</v>
      </c>
      <c r="C56" s="21">
        <v>23</v>
      </c>
      <c r="D56" s="21">
        <f t="shared" si="2"/>
        <v>1058</v>
      </c>
      <c r="E56" s="21">
        <f t="shared" si="5"/>
        <v>5.5026221598120892E+57</v>
      </c>
      <c r="F56" s="26">
        <f t="shared" si="3"/>
        <v>0</v>
      </c>
      <c r="L56" s="7">
        <v>40</v>
      </c>
      <c r="M56" s="6">
        <f t="shared" si="6"/>
        <v>1.3812333454862024E-17</v>
      </c>
    </row>
    <row r="57" spans="2:21" x14ac:dyDescent="0.2">
      <c r="B57" s="25">
        <v>47</v>
      </c>
      <c r="C57" s="21">
        <v>23.5</v>
      </c>
      <c r="D57" s="21">
        <f t="shared" si="2"/>
        <v>1104.5</v>
      </c>
      <c r="E57" s="21">
        <f t="shared" si="5"/>
        <v>2.5862324151116827E+59</v>
      </c>
      <c r="F57" s="26">
        <f t="shared" si="3"/>
        <v>0</v>
      </c>
      <c r="L57" s="7">
        <v>41</v>
      </c>
      <c r="M57" s="6">
        <f t="shared" si="6"/>
        <v>4.0426341819108389E-17</v>
      </c>
    </row>
    <row r="58" spans="2:21" x14ac:dyDescent="0.2">
      <c r="B58" s="25">
        <v>48</v>
      </c>
      <c r="C58" s="21">
        <v>24</v>
      </c>
      <c r="D58" s="21">
        <f t="shared" si="2"/>
        <v>1152</v>
      </c>
      <c r="E58" s="21">
        <f t="shared" si="5"/>
        <v>1.2413915592536068E+61</v>
      </c>
      <c r="F58" s="26">
        <f t="shared" si="3"/>
        <v>0</v>
      </c>
      <c r="L58" s="7">
        <v>42</v>
      </c>
      <c r="M58" s="6">
        <f t="shared" si="6"/>
        <v>1.1550383376888104E-16</v>
      </c>
    </row>
    <row r="59" spans="2:21" x14ac:dyDescent="0.2">
      <c r="B59" s="25">
        <v>49</v>
      </c>
      <c r="C59" s="21">
        <v>24.5</v>
      </c>
      <c r="D59" s="21">
        <f t="shared" si="2"/>
        <v>1200.5</v>
      </c>
      <c r="E59" s="21">
        <f t="shared" si="5"/>
        <v>6.0828186403426789E+62</v>
      </c>
      <c r="F59" s="26">
        <f t="shared" si="3"/>
        <v>0</v>
      </c>
      <c r="L59" s="7">
        <v>43</v>
      </c>
      <c r="M59" s="6">
        <f t="shared" si="6"/>
        <v>3.2233628028524945E-16</v>
      </c>
    </row>
    <row r="60" spans="2:21" x14ac:dyDescent="0.2">
      <c r="B60" s="25">
        <v>50</v>
      </c>
      <c r="C60" s="21">
        <v>25</v>
      </c>
      <c r="D60" s="21">
        <f t="shared" si="2"/>
        <v>1250</v>
      </c>
      <c r="E60" s="21">
        <f t="shared" si="5"/>
        <v>3.0414093201713376E+64</v>
      </c>
      <c r="F60" s="26">
        <f t="shared" si="3"/>
        <v>0</v>
      </c>
      <c r="L60" s="7">
        <v>44</v>
      </c>
      <c r="M60" s="6">
        <f t="shared" si="6"/>
        <v>8.7909894623249845E-16</v>
      </c>
    </row>
    <row r="61" spans="2:21" x14ac:dyDescent="0.2">
      <c r="B61" s="25">
        <v>51</v>
      </c>
      <c r="C61" s="21">
        <v>25.5</v>
      </c>
      <c r="D61" s="21">
        <f t="shared" si="2"/>
        <v>1300.5</v>
      </c>
      <c r="E61" s="21">
        <f t="shared" si="5"/>
        <v>1.5511187532873816E+66</v>
      </c>
      <c r="F61" s="26">
        <f t="shared" si="3"/>
        <v>0</v>
      </c>
      <c r="L61" s="7">
        <v>45</v>
      </c>
      <c r="M61" s="6">
        <f t="shared" si="6"/>
        <v>2.3442638566199961E-15</v>
      </c>
    </row>
    <row r="62" spans="2:21" x14ac:dyDescent="0.2">
      <c r="B62" s="25">
        <v>52</v>
      </c>
      <c r="C62" s="21">
        <v>26</v>
      </c>
      <c r="D62" s="21">
        <f t="shared" si="2"/>
        <v>1352</v>
      </c>
      <c r="E62" s="21">
        <f t="shared" si="5"/>
        <v>8.0658175170943901E+67</v>
      </c>
      <c r="F62" s="26">
        <f t="shared" si="3"/>
        <v>0</v>
      </c>
      <c r="L62" s="7">
        <v>46</v>
      </c>
      <c r="M62" s="6">
        <f t="shared" si="6"/>
        <v>6.1154709303130332E-15</v>
      </c>
    </row>
    <row r="63" spans="2:21" x14ac:dyDescent="0.2">
      <c r="B63" s="25">
        <v>53</v>
      </c>
      <c r="C63" s="21">
        <v>26.5</v>
      </c>
      <c r="D63" s="21">
        <f t="shared" si="2"/>
        <v>1404.5</v>
      </c>
      <c r="E63" s="21">
        <f t="shared" si="5"/>
        <v>4.274883284060024E+69</v>
      </c>
      <c r="F63" s="26">
        <f t="shared" si="3"/>
        <v>0</v>
      </c>
      <c r="L63" s="7">
        <v>47</v>
      </c>
      <c r="M63" s="6">
        <f t="shared" si="6"/>
        <v>1.5613968332714126E-14</v>
      </c>
    </row>
    <row r="64" spans="2:21" x14ac:dyDescent="0.2">
      <c r="B64" s="25">
        <v>54</v>
      </c>
      <c r="C64" s="21">
        <v>27</v>
      </c>
      <c r="D64" s="21">
        <f t="shared" si="2"/>
        <v>1458</v>
      </c>
      <c r="E64" s="21">
        <f t="shared" si="5"/>
        <v>2.3084369733924128E+71</v>
      </c>
      <c r="F64" s="26">
        <f t="shared" si="3"/>
        <v>0</v>
      </c>
      <c r="L64" s="7">
        <v>48</v>
      </c>
      <c r="M64" s="6">
        <f t="shared" si="6"/>
        <v>3.9034920831785342E-14</v>
      </c>
    </row>
    <row r="65" spans="2:13" x14ac:dyDescent="0.2">
      <c r="B65" s="25">
        <v>55</v>
      </c>
      <c r="C65" s="21">
        <v>27.5</v>
      </c>
      <c r="D65" s="21">
        <f t="shared" si="2"/>
        <v>1512.5</v>
      </c>
      <c r="E65" s="21">
        <f t="shared" si="5"/>
        <v>1.2696403353658264E+73</v>
      </c>
      <c r="F65" s="26">
        <f t="shared" si="3"/>
        <v>0</v>
      </c>
      <c r="L65" s="7">
        <v>49</v>
      </c>
      <c r="M65" s="6">
        <f t="shared" si="6"/>
        <v>9.5595724486004813E-14</v>
      </c>
    </row>
    <row r="66" spans="2:13" x14ac:dyDescent="0.2">
      <c r="B66" s="25">
        <v>56</v>
      </c>
      <c r="C66" s="21">
        <v>28</v>
      </c>
      <c r="D66" s="21">
        <f t="shared" si="2"/>
        <v>1568</v>
      </c>
      <c r="E66" s="21">
        <f t="shared" si="5"/>
        <v>7.1099858780486318E+74</v>
      </c>
      <c r="F66" s="26">
        <f t="shared" si="3"/>
        <v>0</v>
      </c>
      <c r="L66" s="7">
        <v>50</v>
      </c>
      <c r="M66" s="6">
        <f t="shared" si="6"/>
        <v>2.2942973876641176E-13</v>
      </c>
    </row>
    <row r="67" spans="2:13" x14ac:dyDescent="0.2">
      <c r="B67" s="25">
        <v>57</v>
      </c>
      <c r="C67" s="21">
        <v>28.5</v>
      </c>
      <c r="D67" s="21">
        <f t="shared" si="2"/>
        <v>1624.5</v>
      </c>
      <c r="E67" s="21">
        <f t="shared" si="5"/>
        <v>4.0526919504877227E+76</v>
      </c>
      <c r="F67" s="26">
        <f t="shared" si="3"/>
        <v>0</v>
      </c>
      <c r="L67" s="7">
        <v>51</v>
      </c>
      <c r="M67" s="6">
        <f t="shared" si="6"/>
        <v>5.3983467945038074E-13</v>
      </c>
    </row>
    <row r="68" spans="2:13" x14ac:dyDescent="0.2">
      <c r="B68" s="25">
        <v>58</v>
      </c>
      <c r="C68" s="21">
        <v>29</v>
      </c>
      <c r="D68" s="21">
        <f t="shared" si="2"/>
        <v>1682</v>
      </c>
      <c r="E68" s="21">
        <f t="shared" si="5"/>
        <v>2.3505613312828789E+78</v>
      </c>
      <c r="F68" s="26">
        <f t="shared" si="3"/>
        <v>0</v>
      </c>
      <c r="L68" s="7">
        <v>52</v>
      </c>
      <c r="M68" s="6">
        <f t="shared" si="6"/>
        <v>1.2457723371931855E-12</v>
      </c>
    </row>
    <row r="69" spans="2:13" x14ac:dyDescent="0.2">
      <c r="B69" s="25">
        <v>59</v>
      </c>
      <c r="C69" s="21">
        <v>29.5</v>
      </c>
      <c r="D69" s="21">
        <f t="shared" si="2"/>
        <v>1740.5</v>
      </c>
      <c r="E69" s="21">
        <f t="shared" si="5"/>
        <v>1.3868311854568981E+80</v>
      </c>
      <c r="F69" s="26">
        <f t="shared" si="3"/>
        <v>0</v>
      </c>
      <c r="L69" s="7">
        <v>53</v>
      </c>
      <c r="M69" s="6">
        <f t="shared" si="6"/>
        <v>2.8206166125128748E-12</v>
      </c>
    </row>
    <row r="70" spans="2:13" x14ac:dyDescent="0.2">
      <c r="B70" s="25">
        <v>60</v>
      </c>
      <c r="C70" s="21">
        <v>30</v>
      </c>
      <c r="D70" s="21">
        <f t="shared" si="2"/>
        <v>1800</v>
      </c>
      <c r="E70" s="21">
        <f t="shared" si="5"/>
        <v>8.3209871127413899E+81</v>
      </c>
      <c r="F70" s="26">
        <f t="shared" si="3"/>
        <v>0</v>
      </c>
      <c r="L70" s="7">
        <v>54</v>
      </c>
      <c r="M70" s="6">
        <f t="shared" si="6"/>
        <v>6.268036916695277E-12</v>
      </c>
    </row>
    <row r="71" spans="2:13" x14ac:dyDescent="0.2">
      <c r="B71" s="25">
        <v>61</v>
      </c>
      <c r="C71" s="21">
        <v>30.5</v>
      </c>
      <c r="D71" s="21">
        <f t="shared" si="2"/>
        <v>1860.5</v>
      </c>
      <c r="E71" s="21">
        <f t="shared" si="5"/>
        <v>5.0758021387722462E+83</v>
      </c>
      <c r="F71" s="26">
        <f t="shared" si="3"/>
        <v>0</v>
      </c>
      <c r="L71" s="7">
        <v>55</v>
      </c>
      <c r="M71" s="6">
        <f t="shared" si="6"/>
        <v>1.3675716909153341E-11</v>
      </c>
    </row>
    <row r="72" spans="2:13" x14ac:dyDescent="0.2">
      <c r="B72" s="25">
        <v>62</v>
      </c>
      <c r="C72" s="21">
        <v>31</v>
      </c>
      <c r="D72" s="21">
        <f t="shared" si="2"/>
        <v>1922</v>
      </c>
      <c r="E72" s="21">
        <f t="shared" si="5"/>
        <v>3.1469973260387939E+85</v>
      </c>
      <c r="F72" s="26">
        <f t="shared" si="3"/>
        <v>0</v>
      </c>
      <c r="L72" s="7">
        <v>56</v>
      </c>
      <c r="M72" s="6">
        <f t="shared" si="6"/>
        <v>2.930510766247142E-11</v>
      </c>
    </row>
    <row r="73" spans="2:13" x14ac:dyDescent="0.2">
      <c r="B73" s="25">
        <v>63</v>
      </c>
      <c r="C73" s="21">
        <v>31.5</v>
      </c>
      <c r="D73" s="21">
        <f t="shared" si="2"/>
        <v>1984.5</v>
      </c>
      <c r="E73" s="21">
        <f t="shared" si="5"/>
        <v>1.9826083154044396E+87</v>
      </c>
      <c r="F73" s="26">
        <f t="shared" si="3"/>
        <v>0</v>
      </c>
      <c r="L73" s="7">
        <v>57</v>
      </c>
      <c r="M73" s="6">
        <f t="shared" si="6"/>
        <v>6.1694963499939792E-11</v>
      </c>
    </row>
    <row r="74" spans="2:13" x14ac:dyDescent="0.2">
      <c r="B74" s="25">
        <v>64</v>
      </c>
      <c r="C74" s="21">
        <v>32</v>
      </c>
      <c r="D74" s="21">
        <f t="shared" si="2"/>
        <v>2048</v>
      </c>
      <c r="E74" s="21">
        <f t="shared" ref="E74:E105" si="7">FACT(B74)</f>
        <v>1.2688693218588414E+89</v>
      </c>
      <c r="F74" s="26">
        <f t="shared" si="3"/>
        <v>0</v>
      </c>
      <c r="L74" s="7">
        <v>58</v>
      </c>
      <c r="M74" s="6">
        <f t="shared" si="6"/>
        <v>1.2764475206884096E-10</v>
      </c>
    </row>
    <row r="75" spans="2:13" x14ac:dyDescent="0.2">
      <c r="B75" s="25">
        <v>65</v>
      </c>
      <c r="C75" s="21">
        <v>32.5</v>
      </c>
      <c r="D75" s="21">
        <f t="shared" ref="D75:D130" si="8">B75*C75</f>
        <v>2112.5</v>
      </c>
      <c r="E75" s="21">
        <f t="shared" si="7"/>
        <v>8.2476505920824715E+90</v>
      </c>
      <c r="F75" s="26">
        <f t="shared" ref="F75:F130" si="9">EXP(-D75)</f>
        <v>0</v>
      </c>
      <c r="L75" s="7">
        <v>59</v>
      </c>
      <c r="M75" s="6">
        <f t="shared" si="6"/>
        <v>2.5961644488577836E-10</v>
      </c>
    </row>
    <row r="76" spans="2:13" x14ac:dyDescent="0.2">
      <c r="B76" s="25">
        <v>66</v>
      </c>
      <c r="C76" s="21">
        <v>33</v>
      </c>
      <c r="D76" s="21">
        <f t="shared" si="8"/>
        <v>2178</v>
      </c>
      <c r="E76" s="21">
        <f t="shared" si="7"/>
        <v>5.4434493907744319E+92</v>
      </c>
      <c r="F76" s="26">
        <f t="shared" si="9"/>
        <v>0</v>
      </c>
      <c r="L76" s="7">
        <v>60</v>
      </c>
      <c r="M76" s="6">
        <f t="shared" si="6"/>
        <v>5.1923288977155663E-10</v>
      </c>
    </row>
    <row r="77" spans="2:13" x14ac:dyDescent="0.2">
      <c r="B77" s="25">
        <v>67</v>
      </c>
      <c r="C77" s="21">
        <v>33.5</v>
      </c>
      <c r="D77" s="21">
        <f t="shared" si="8"/>
        <v>2244.5</v>
      </c>
      <c r="E77" s="21">
        <f t="shared" si="7"/>
        <v>3.6471110918188705E+94</v>
      </c>
      <c r="F77" s="26">
        <f t="shared" si="9"/>
        <v>0</v>
      </c>
      <c r="L77" s="7">
        <v>61</v>
      </c>
      <c r="M77" s="6">
        <f t="shared" si="6"/>
        <v>1.0214417503702757E-9</v>
      </c>
    </row>
    <row r="78" spans="2:13" x14ac:dyDescent="0.2">
      <c r="B78" s="25">
        <v>68</v>
      </c>
      <c r="C78" s="21">
        <v>34</v>
      </c>
      <c r="D78" s="21">
        <f t="shared" si="8"/>
        <v>2312</v>
      </c>
      <c r="E78" s="21">
        <f t="shared" si="7"/>
        <v>2.4800355424368301E+96</v>
      </c>
      <c r="F78" s="26">
        <f t="shared" si="9"/>
        <v>0</v>
      </c>
      <c r="L78" s="7">
        <v>62</v>
      </c>
      <c r="M78" s="6">
        <f t="shared" si="6"/>
        <v>1.9769840329747262E-9</v>
      </c>
    </row>
    <row r="79" spans="2:13" x14ac:dyDescent="0.2">
      <c r="B79" s="25">
        <v>69</v>
      </c>
      <c r="C79" s="21">
        <v>34.5</v>
      </c>
      <c r="D79" s="21">
        <f t="shared" si="8"/>
        <v>2380.5</v>
      </c>
      <c r="E79" s="21">
        <f t="shared" si="7"/>
        <v>1.7112245242814127E+98</v>
      </c>
      <c r="F79" s="26">
        <f t="shared" si="9"/>
        <v>0</v>
      </c>
      <c r="L79" s="7">
        <v>63</v>
      </c>
      <c r="M79" s="6">
        <f t="shared" si="6"/>
        <v>3.7656838723328125E-9</v>
      </c>
    </row>
    <row r="80" spans="2:13" x14ac:dyDescent="0.2">
      <c r="B80" s="25">
        <v>70</v>
      </c>
      <c r="C80" s="21">
        <v>35</v>
      </c>
      <c r="D80" s="21">
        <f t="shared" si="8"/>
        <v>2450</v>
      </c>
      <c r="E80" s="21">
        <f t="shared" si="7"/>
        <v>1.1978571669969892E+100</v>
      </c>
      <c r="F80" s="26">
        <f t="shared" si="9"/>
        <v>0</v>
      </c>
      <c r="L80" s="7">
        <v>64</v>
      </c>
      <c r="M80" s="6">
        <f t="shared" ref="M80:M111" si="10">(120^(L80)/E74)*7.66765E-53</f>
        <v>7.0606572606240243E-9</v>
      </c>
    </row>
    <row r="81" spans="2:13" x14ac:dyDescent="0.2">
      <c r="B81" s="25">
        <v>71</v>
      </c>
      <c r="C81" s="21">
        <v>35.5</v>
      </c>
      <c r="D81" s="21">
        <f t="shared" si="8"/>
        <v>2520.5</v>
      </c>
      <c r="E81" s="21">
        <f t="shared" si="7"/>
        <v>8.5047858856786242E+101</v>
      </c>
      <c r="F81" s="26">
        <f t="shared" si="9"/>
        <v>0</v>
      </c>
      <c r="L81" s="7">
        <v>65</v>
      </c>
      <c r="M81" s="6">
        <f t="shared" si="10"/>
        <v>1.303505955807512E-8</v>
      </c>
    </row>
    <row r="82" spans="2:13" x14ac:dyDescent="0.2">
      <c r="B82" s="25">
        <v>72</v>
      </c>
      <c r="C82" s="21">
        <v>36</v>
      </c>
      <c r="D82" s="21">
        <f t="shared" si="8"/>
        <v>2592</v>
      </c>
      <c r="E82" s="21">
        <f t="shared" si="7"/>
        <v>6.1234458376886116E+103</v>
      </c>
      <c r="F82" s="26">
        <f t="shared" si="9"/>
        <v>0</v>
      </c>
      <c r="L82" s="7">
        <v>66</v>
      </c>
      <c r="M82" s="6">
        <f t="shared" si="10"/>
        <v>2.3700108287409305E-8</v>
      </c>
    </row>
    <row r="83" spans="2:13" x14ac:dyDescent="0.2">
      <c r="B83" s="25">
        <v>73</v>
      </c>
      <c r="C83" s="21">
        <v>36.5</v>
      </c>
      <c r="D83" s="21">
        <f t="shared" si="8"/>
        <v>2664.5</v>
      </c>
      <c r="E83" s="21">
        <f t="shared" si="7"/>
        <v>4.4701154615126859E+105</v>
      </c>
      <c r="F83" s="26">
        <f t="shared" si="9"/>
        <v>0</v>
      </c>
      <c r="L83" s="7">
        <v>67</v>
      </c>
      <c r="M83" s="6">
        <f t="shared" si="10"/>
        <v>4.2447955141628587E-8</v>
      </c>
    </row>
    <row r="84" spans="2:13" x14ac:dyDescent="0.2">
      <c r="B84" s="25">
        <v>74</v>
      </c>
      <c r="C84" s="21">
        <v>37</v>
      </c>
      <c r="D84" s="21">
        <f t="shared" si="8"/>
        <v>2738</v>
      </c>
      <c r="E84" s="21">
        <f t="shared" si="7"/>
        <v>3.3078854415193869E+107</v>
      </c>
      <c r="F84" s="26">
        <f t="shared" si="9"/>
        <v>0</v>
      </c>
      <c r="L84" s="7">
        <v>68</v>
      </c>
      <c r="M84" s="6">
        <f t="shared" si="10"/>
        <v>7.4908156132285802E-8</v>
      </c>
    </row>
    <row r="85" spans="2:13" x14ac:dyDescent="0.2">
      <c r="B85" s="25">
        <v>75</v>
      </c>
      <c r="C85" s="21">
        <v>37.5</v>
      </c>
      <c r="D85" s="21">
        <f t="shared" si="8"/>
        <v>2812.5</v>
      </c>
      <c r="E85" s="21">
        <f t="shared" si="7"/>
        <v>2.4809140811395404E+109</v>
      </c>
      <c r="F85" s="26">
        <f t="shared" si="9"/>
        <v>0</v>
      </c>
      <c r="L85" s="7">
        <v>69</v>
      </c>
      <c r="M85" s="6">
        <f t="shared" si="10"/>
        <v>1.3027505414310574E-7</v>
      </c>
    </row>
    <row r="86" spans="2:13" x14ac:dyDescent="0.2">
      <c r="B86" s="25">
        <v>76</v>
      </c>
      <c r="C86" s="21">
        <v>38</v>
      </c>
      <c r="D86" s="21">
        <f t="shared" si="8"/>
        <v>2888</v>
      </c>
      <c r="E86" s="21">
        <f t="shared" si="7"/>
        <v>1.8854947016660506E+111</v>
      </c>
      <c r="F86" s="26">
        <f t="shared" si="9"/>
        <v>0</v>
      </c>
      <c r="L86" s="7">
        <v>70</v>
      </c>
      <c r="M86" s="6">
        <f t="shared" si="10"/>
        <v>2.2332866424532409E-7</v>
      </c>
    </row>
    <row r="87" spans="2:13" x14ac:dyDescent="0.2">
      <c r="B87" s="25">
        <v>77</v>
      </c>
      <c r="C87" s="21">
        <v>38.5</v>
      </c>
      <c r="D87" s="21">
        <f t="shared" si="8"/>
        <v>2964.5</v>
      </c>
      <c r="E87" s="21">
        <f t="shared" si="7"/>
        <v>1.4518309202828591E+113</v>
      </c>
      <c r="F87" s="26">
        <f t="shared" si="9"/>
        <v>0</v>
      </c>
      <c r="L87" s="7">
        <v>71</v>
      </c>
      <c r="M87" s="6">
        <f t="shared" si="10"/>
        <v>3.7745689731604061E-7</v>
      </c>
    </row>
    <row r="88" spans="2:13" x14ac:dyDescent="0.2">
      <c r="B88" s="25">
        <v>78</v>
      </c>
      <c r="C88" s="21">
        <v>39</v>
      </c>
      <c r="D88" s="21">
        <f t="shared" si="8"/>
        <v>3042</v>
      </c>
      <c r="E88" s="21">
        <f t="shared" si="7"/>
        <v>1.1324281178206295E+115</v>
      </c>
      <c r="F88" s="26">
        <f t="shared" si="9"/>
        <v>0</v>
      </c>
      <c r="L88" s="7">
        <v>72</v>
      </c>
      <c r="M88" s="6">
        <f t="shared" si="10"/>
        <v>6.2909482886006764E-7</v>
      </c>
    </row>
    <row r="89" spans="2:13" x14ac:dyDescent="0.2">
      <c r="B89" s="25">
        <v>79</v>
      </c>
      <c r="C89" s="21">
        <v>39.5</v>
      </c>
      <c r="D89" s="21">
        <f t="shared" si="8"/>
        <v>3120.5</v>
      </c>
      <c r="E89" s="21">
        <f t="shared" si="7"/>
        <v>8.9461821307829799E+116</v>
      </c>
      <c r="F89" s="26">
        <f t="shared" si="9"/>
        <v>0</v>
      </c>
      <c r="L89" s="7">
        <v>73</v>
      </c>
      <c r="M89" s="6">
        <f t="shared" si="10"/>
        <v>1.0341284857973715E-6</v>
      </c>
    </row>
    <row r="90" spans="2:13" x14ac:dyDescent="0.2">
      <c r="B90" s="25">
        <v>80</v>
      </c>
      <c r="C90" s="21">
        <v>40</v>
      </c>
      <c r="D90" s="21">
        <f t="shared" si="8"/>
        <v>3200</v>
      </c>
      <c r="E90" s="21">
        <f t="shared" si="7"/>
        <v>7.1569457046263797E+118</v>
      </c>
      <c r="F90" s="26">
        <f t="shared" si="9"/>
        <v>0</v>
      </c>
      <c r="L90" s="7">
        <v>74</v>
      </c>
      <c r="M90" s="6">
        <f t="shared" si="10"/>
        <v>1.6769651121038461E-6</v>
      </c>
    </row>
    <row r="91" spans="2:13" x14ac:dyDescent="0.2">
      <c r="B91" s="25">
        <v>81</v>
      </c>
      <c r="C91" s="21">
        <v>40.5</v>
      </c>
      <c r="D91" s="21">
        <f t="shared" si="8"/>
        <v>3280.5</v>
      </c>
      <c r="E91" s="21">
        <f t="shared" si="7"/>
        <v>5.797126020747369E+120</v>
      </c>
      <c r="F91" s="26">
        <f t="shared" si="9"/>
        <v>0</v>
      </c>
      <c r="L91" s="7">
        <v>75</v>
      </c>
      <c r="M91" s="6">
        <f t="shared" si="10"/>
        <v>2.6831441793661533E-6</v>
      </c>
    </row>
    <row r="92" spans="2:13" x14ac:dyDescent="0.2">
      <c r="B92" s="25">
        <v>82</v>
      </c>
      <c r="C92" s="21">
        <v>41</v>
      </c>
      <c r="D92" s="21">
        <f t="shared" si="8"/>
        <v>3362</v>
      </c>
      <c r="E92" s="21">
        <f t="shared" si="7"/>
        <v>4.7536433370128435E+122</v>
      </c>
      <c r="F92" s="26">
        <f t="shared" si="9"/>
        <v>0</v>
      </c>
      <c r="L92" s="7">
        <v>76</v>
      </c>
      <c r="M92" s="6">
        <f t="shared" si="10"/>
        <v>4.2365434411044531E-6</v>
      </c>
    </row>
    <row r="93" spans="2:13" x14ac:dyDescent="0.2">
      <c r="B93" s="25">
        <v>83</v>
      </c>
      <c r="C93" s="21">
        <v>41.5</v>
      </c>
      <c r="D93" s="21">
        <f t="shared" si="8"/>
        <v>3444.5</v>
      </c>
      <c r="E93" s="21">
        <f t="shared" si="7"/>
        <v>3.9455239697206602E+124</v>
      </c>
      <c r="F93" s="26">
        <f t="shared" si="9"/>
        <v>0</v>
      </c>
      <c r="L93" s="7">
        <v>77</v>
      </c>
      <c r="M93" s="6">
        <f t="shared" si="10"/>
        <v>6.6024053627601861E-6</v>
      </c>
    </row>
    <row r="94" spans="2:13" x14ac:dyDescent="0.2">
      <c r="B94" s="25">
        <v>84</v>
      </c>
      <c r="C94" s="21">
        <v>42</v>
      </c>
      <c r="D94" s="21">
        <f t="shared" si="8"/>
        <v>3528</v>
      </c>
      <c r="E94" s="21">
        <f t="shared" si="7"/>
        <v>3.3142401345653538E+126</v>
      </c>
      <c r="F94" s="26">
        <f t="shared" si="9"/>
        <v>0</v>
      </c>
      <c r="L94" s="7">
        <v>78</v>
      </c>
      <c r="M94" s="6">
        <f t="shared" si="10"/>
        <v>1.0157546711938753E-5</v>
      </c>
    </row>
    <row r="95" spans="2:13" x14ac:dyDescent="0.2">
      <c r="B95" s="25">
        <v>85</v>
      </c>
      <c r="C95" s="21">
        <v>42.5</v>
      </c>
      <c r="D95" s="21">
        <f t="shared" si="8"/>
        <v>3612.5</v>
      </c>
      <c r="E95" s="21">
        <f t="shared" si="7"/>
        <v>2.8171041143805494E+128</v>
      </c>
      <c r="F95" s="26">
        <f t="shared" si="9"/>
        <v>0</v>
      </c>
      <c r="L95" s="7">
        <v>79</v>
      </c>
      <c r="M95" s="6">
        <f t="shared" si="10"/>
        <v>1.5429184878894296E-5</v>
      </c>
    </row>
    <row r="96" spans="2:13" x14ac:dyDescent="0.2">
      <c r="B96" s="25">
        <v>86</v>
      </c>
      <c r="C96" s="21">
        <v>43</v>
      </c>
      <c r="D96" s="21">
        <f t="shared" si="8"/>
        <v>3698</v>
      </c>
      <c r="E96" s="21">
        <f t="shared" si="7"/>
        <v>2.4227095383672744E+130</v>
      </c>
      <c r="F96" s="26">
        <f t="shared" si="9"/>
        <v>0</v>
      </c>
      <c r="L96" s="7">
        <v>80</v>
      </c>
      <c r="M96" s="6">
        <f t="shared" si="10"/>
        <v>2.3143777318341457E-5</v>
      </c>
    </row>
    <row r="97" spans="2:13" x14ac:dyDescent="0.2">
      <c r="B97" s="25">
        <v>87</v>
      </c>
      <c r="C97" s="21">
        <v>43.5</v>
      </c>
      <c r="D97" s="21">
        <f t="shared" si="8"/>
        <v>3784.5</v>
      </c>
      <c r="E97" s="21">
        <f t="shared" si="7"/>
        <v>2.1077572983795269E+132</v>
      </c>
      <c r="F97" s="26">
        <f t="shared" si="9"/>
        <v>0</v>
      </c>
      <c r="L97" s="7">
        <v>81</v>
      </c>
      <c r="M97" s="6">
        <f t="shared" si="10"/>
        <v>3.4287077508654001E-5</v>
      </c>
    </row>
    <row r="98" spans="2:13" x14ac:dyDescent="0.2">
      <c r="B98" s="25">
        <v>88</v>
      </c>
      <c r="C98" s="21">
        <v>44</v>
      </c>
      <c r="D98" s="21">
        <f t="shared" si="8"/>
        <v>3872</v>
      </c>
      <c r="E98" s="21">
        <f t="shared" si="7"/>
        <v>1.854826422573984E+134</v>
      </c>
      <c r="F98" s="26">
        <f t="shared" si="9"/>
        <v>0</v>
      </c>
      <c r="L98" s="7">
        <v>82</v>
      </c>
      <c r="M98" s="6">
        <f t="shared" si="10"/>
        <v>5.0176210988274149E-5</v>
      </c>
    </row>
    <row r="99" spans="2:13" x14ac:dyDescent="0.2">
      <c r="B99" s="25">
        <v>89</v>
      </c>
      <c r="C99" s="21">
        <v>44.5</v>
      </c>
      <c r="D99" s="21">
        <f t="shared" si="8"/>
        <v>3960.5</v>
      </c>
      <c r="E99" s="21">
        <f t="shared" si="7"/>
        <v>1.6507955160908465E+136</v>
      </c>
      <c r="F99" s="26">
        <f t="shared" si="9"/>
        <v>0</v>
      </c>
      <c r="L99" s="7">
        <v>83</v>
      </c>
      <c r="M99" s="6">
        <f t="shared" si="10"/>
        <v>7.2543919501119247E-5</v>
      </c>
    </row>
    <row r="100" spans="2:13" x14ac:dyDescent="0.2">
      <c r="B100" s="25">
        <v>90</v>
      </c>
      <c r="C100" s="21">
        <v>45</v>
      </c>
      <c r="D100" s="21">
        <f t="shared" si="8"/>
        <v>4050</v>
      </c>
      <c r="E100" s="21">
        <f t="shared" si="7"/>
        <v>1.4857159644817605E+138</v>
      </c>
      <c r="F100" s="26">
        <f t="shared" si="9"/>
        <v>0</v>
      </c>
      <c r="L100" s="7">
        <v>84</v>
      </c>
      <c r="M100" s="6">
        <f t="shared" si="10"/>
        <v>1.0363417071588467E-4</v>
      </c>
    </row>
    <row r="101" spans="2:13" x14ac:dyDescent="0.2">
      <c r="B101" s="25">
        <v>91</v>
      </c>
      <c r="C101" s="21">
        <v>45.5</v>
      </c>
      <c r="D101" s="21">
        <f t="shared" si="8"/>
        <v>4140.5</v>
      </c>
      <c r="E101" s="21">
        <f t="shared" si="7"/>
        <v>1.3520015276784033E+140</v>
      </c>
      <c r="F101" s="26">
        <f t="shared" si="9"/>
        <v>0</v>
      </c>
      <c r="L101" s="7">
        <v>85</v>
      </c>
      <c r="M101" s="6">
        <f t="shared" si="10"/>
        <v>1.4630706454007251E-4</v>
      </c>
    </row>
    <row r="102" spans="2:13" x14ac:dyDescent="0.2">
      <c r="B102" s="25">
        <v>92</v>
      </c>
      <c r="C102" s="21">
        <v>46</v>
      </c>
      <c r="D102" s="21">
        <f t="shared" si="8"/>
        <v>4232</v>
      </c>
      <c r="E102" s="21">
        <f t="shared" si="7"/>
        <v>1.2438414054641305E+142</v>
      </c>
      <c r="F102" s="26">
        <f t="shared" si="9"/>
        <v>0</v>
      </c>
      <c r="L102" s="7">
        <v>86</v>
      </c>
      <c r="M102" s="6">
        <f t="shared" si="10"/>
        <v>2.0414939238149634E-4</v>
      </c>
    </row>
    <row r="103" spans="2:13" x14ac:dyDescent="0.2">
      <c r="B103" s="25">
        <v>93</v>
      </c>
      <c r="C103" s="21">
        <v>46.5</v>
      </c>
      <c r="D103" s="21">
        <f t="shared" si="8"/>
        <v>4324.5</v>
      </c>
      <c r="E103" s="21">
        <f t="shared" si="7"/>
        <v>1.156772507081641E+144</v>
      </c>
      <c r="F103" s="26">
        <f t="shared" si="9"/>
        <v>0</v>
      </c>
      <c r="L103" s="7">
        <v>87</v>
      </c>
      <c r="M103" s="6">
        <f t="shared" si="10"/>
        <v>2.8158536880206419E-4</v>
      </c>
    </row>
    <row r="104" spans="2:13" x14ac:dyDescent="0.2">
      <c r="B104" s="25">
        <v>94</v>
      </c>
      <c r="C104" s="21">
        <v>47</v>
      </c>
      <c r="D104" s="21">
        <f t="shared" si="8"/>
        <v>4418</v>
      </c>
      <c r="E104" s="21">
        <f t="shared" si="7"/>
        <v>1.0873661566567426E+146</v>
      </c>
      <c r="F104" s="26">
        <f t="shared" si="9"/>
        <v>0</v>
      </c>
      <c r="L104" s="7">
        <v>88</v>
      </c>
      <c r="M104" s="6">
        <f t="shared" si="10"/>
        <v>3.8398004836645116E-4</v>
      </c>
    </row>
    <row r="105" spans="2:13" x14ac:dyDescent="0.2">
      <c r="B105" s="25">
        <v>95</v>
      </c>
      <c r="C105" s="21">
        <v>47.5</v>
      </c>
      <c r="D105" s="21">
        <f t="shared" si="8"/>
        <v>4512.5</v>
      </c>
      <c r="E105" s="21">
        <f t="shared" si="7"/>
        <v>1.0329978488239061E+148</v>
      </c>
      <c r="F105" s="26">
        <f t="shared" si="9"/>
        <v>0</v>
      </c>
      <c r="L105" s="7">
        <v>89</v>
      </c>
      <c r="M105" s="6">
        <f t="shared" si="10"/>
        <v>5.1772590790982146E-4</v>
      </c>
    </row>
    <row r="106" spans="2:13" x14ac:dyDescent="0.2">
      <c r="B106" s="25">
        <v>96</v>
      </c>
      <c r="C106" s="21">
        <v>48</v>
      </c>
      <c r="D106" s="21">
        <f t="shared" si="8"/>
        <v>4608</v>
      </c>
      <c r="E106" s="21">
        <f t="shared" ref="E106:E130" si="11">FACT(B106)</f>
        <v>9.916779348709491E+149</v>
      </c>
      <c r="F106" s="26">
        <f t="shared" si="9"/>
        <v>0</v>
      </c>
      <c r="L106" s="7">
        <v>90</v>
      </c>
      <c r="M106" s="6">
        <f t="shared" si="10"/>
        <v>6.9030121054642929E-4</v>
      </c>
    </row>
    <row r="107" spans="2:13" x14ac:dyDescent="0.2">
      <c r="B107" s="25">
        <v>97</v>
      </c>
      <c r="C107" s="21">
        <v>48.5</v>
      </c>
      <c r="D107" s="21">
        <f t="shared" si="8"/>
        <v>4704.5</v>
      </c>
      <c r="E107" s="21">
        <f t="shared" si="11"/>
        <v>9.6192759682482155E+151</v>
      </c>
      <c r="F107" s="26">
        <f t="shared" si="9"/>
        <v>0</v>
      </c>
      <c r="L107" s="7">
        <v>91</v>
      </c>
      <c r="M107" s="6">
        <f t="shared" si="10"/>
        <v>9.1028731061067517E-4</v>
      </c>
    </row>
    <row r="108" spans="2:13" x14ac:dyDescent="0.2">
      <c r="B108" s="25">
        <v>98</v>
      </c>
      <c r="C108" s="21">
        <v>49</v>
      </c>
      <c r="D108" s="21">
        <f t="shared" si="8"/>
        <v>4802</v>
      </c>
      <c r="E108" s="21">
        <f t="shared" si="11"/>
        <v>9.426890448883248E+153</v>
      </c>
      <c r="F108" s="26">
        <f t="shared" si="9"/>
        <v>0</v>
      </c>
      <c r="L108" s="7">
        <v>92</v>
      </c>
      <c r="M108" s="6">
        <f t="shared" si="10"/>
        <v>1.1873312747095769E-3</v>
      </c>
    </row>
    <row r="109" spans="2:13" x14ac:dyDescent="0.2">
      <c r="B109" s="25">
        <v>99</v>
      </c>
      <c r="C109" s="21">
        <v>49.5</v>
      </c>
      <c r="D109" s="21">
        <f t="shared" si="8"/>
        <v>4900.5</v>
      </c>
      <c r="E109" s="21">
        <f t="shared" si="11"/>
        <v>9.3326215443944153E+155</v>
      </c>
      <c r="F109" s="26">
        <f t="shared" si="9"/>
        <v>0</v>
      </c>
      <c r="L109" s="7">
        <v>93</v>
      </c>
      <c r="M109" s="6">
        <f t="shared" si="10"/>
        <v>1.5320403544639705E-3</v>
      </c>
    </row>
    <row r="110" spans="2:13" x14ac:dyDescent="0.2">
      <c r="B110" s="25">
        <v>100</v>
      </c>
      <c r="C110" s="21">
        <v>50</v>
      </c>
      <c r="D110" s="21">
        <f t="shared" si="8"/>
        <v>5000</v>
      </c>
      <c r="E110" s="21">
        <f t="shared" si="11"/>
        <v>9.3326215443944175E+157</v>
      </c>
      <c r="F110" s="26">
        <f t="shared" si="9"/>
        <v>0</v>
      </c>
      <c r="L110" s="7">
        <v>94</v>
      </c>
      <c r="M110" s="6">
        <f t="shared" si="10"/>
        <v>1.9557961971880472E-3</v>
      </c>
    </row>
    <row r="111" spans="2:13" x14ac:dyDescent="0.2">
      <c r="B111" s="25">
        <v>101</v>
      </c>
      <c r="C111" s="21">
        <v>50.5</v>
      </c>
      <c r="D111" s="21">
        <f t="shared" si="8"/>
        <v>5100.5</v>
      </c>
      <c r="E111" s="21">
        <f t="shared" si="11"/>
        <v>9.4259477598383599E+159</v>
      </c>
      <c r="F111" s="26">
        <f t="shared" si="9"/>
        <v>0</v>
      </c>
      <c r="L111" s="7">
        <v>95</v>
      </c>
      <c r="M111" s="6">
        <f t="shared" si="10"/>
        <v>2.4704794069743742E-3</v>
      </c>
    </row>
    <row r="112" spans="2:13" x14ac:dyDescent="0.2">
      <c r="B112" s="25">
        <v>102</v>
      </c>
      <c r="C112" s="21">
        <v>51</v>
      </c>
      <c r="D112" s="21">
        <f t="shared" si="8"/>
        <v>5202</v>
      </c>
      <c r="E112" s="21">
        <f t="shared" si="11"/>
        <v>9.6144667150351251E+161</v>
      </c>
      <c r="F112" s="26">
        <f t="shared" si="9"/>
        <v>0</v>
      </c>
      <c r="L112" s="7">
        <v>96</v>
      </c>
      <c r="M112" s="6">
        <f t="shared" ref="M112:M143" si="12">(120^(L112)/E106)*7.66765E-53</f>
        <v>3.0880992587179702E-3</v>
      </c>
    </row>
    <row r="113" spans="2:13" x14ac:dyDescent="0.2">
      <c r="B113" s="25">
        <v>103</v>
      </c>
      <c r="C113" s="21">
        <v>51.5</v>
      </c>
      <c r="D113" s="21">
        <f t="shared" si="8"/>
        <v>5304.5</v>
      </c>
      <c r="E113" s="21">
        <f t="shared" si="11"/>
        <v>9.9029007164861779E+163</v>
      </c>
      <c r="F113" s="26">
        <f t="shared" si="9"/>
        <v>0</v>
      </c>
      <c r="L113" s="7">
        <v>97</v>
      </c>
      <c r="M113" s="6">
        <f t="shared" si="12"/>
        <v>3.8203289798572791E-3</v>
      </c>
    </row>
    <row r="114" spans="2:13" x14ac:dyDescent="0.2">
      <c r="B114" s="25">
        <v>104</v>
      </c>
      <c r="C114" s="21">
        <v>52</v>
      </c>
      <c r="D114" s="21">
        <f t="shared" si="8"/>
        <v>5408</v>
      </c>
      <c r="E114" s="21">
        <f t="shared" si="11"/>
        <v>1.0299016745145631E+166</v>
      </c>
      <c r="F114" s="26">
        <f t="shared" si="9"/>
        <v>0</v>
      </c>
      <c r="L114" s="7">
        <v>98</v>
      </c>
      <c r="M114" s="6">
        <f t="shared" si="12"/>
        <v>4.6779538528864649E-3</v>
      </c>
    </row>
    <row r="115" spans="2:13" x14ac:dyDescent="0.2">
      <c r="B115" s="25">
        <v>105</v>
      </c>
      <c r="C115" s="21">
        <v>52.5</v>
      </c>
      <c r="D115" s="21">
        <f t="shared" si="8"/>
        <v>5512.5</v>
      </c>
      <c r="E115" s="21">
        <f t="shared" si="11"/>
        <v>1.0813967582402912E+168</v>
      </c>
      <c r="F115" s="26">
        <f t="shared" si="9"/>
        <v>0</v>
      </c>
      <c r="L115" s="7">
        <v>99</v>
      </c>
      <c r="M115" s="6">
        <f t="shared" si="12"/>
        <v>5.6702470944078372E-3</v>
      </c>
    </row>
    <row r="116" spans="2:13" x14ac:dyDescent="0.2">
      <c r="B116" s="25">
        <v>106</v>
      </c>
      <c r="C116" s="21">
        <v>53</v>
      </c>
      <c r="D116" s="21">
        <f t="shared" si="8"/>
        <v>5618</v>
      </c>
      <c r="E116" s="21">
        <f t="shared" si="11"/>
        <v>1.1462805637347086E+170</v>
      </c>
      <c r="F116" s="26">
        <f t="shared" si="9"/>
        <v>0</v>
      </c>
      <c r="L116" s="7">
        <v>100</v>
      </c>
      <c r="M116" s="6">
        <f t="shared" si="12"/>
        <v>6.8042965132894036E-3</v>
      </c>
    </row>
    <row r="117" spans="2:13" x14ac:dyDescent="0.2">
      <c r="B117" s="25">
        <v>107</v>
      </c>
      <c r="C117" s="21">
        <v>53.5</v>
      </c>
      <c r="D117" s="21">
        <f t="shared" si="8"/>
        <v>5724.5</v>
      </c>
      <c r="E117" s="21">
        <f t="shared" si="11"/>
        <v>1.2265202031961373E+172</v>
      </c>
      <c r="F117" s="26">
        <f t="shared" si="9"/>
        <v>0</v>
      </c>
      <c r="L117" s="7">
        <v>101</v>
      </c>
      <c r="M117" s="6">
        <f t="shared" si="12"/>
        <v>8.0843126890567177E-3</v>
      </c>
    </row>
    <row r="118" spans="2:13" x14ac:dyDescent="0.2">
      <c r="B118" s="25">
        <v>108</v>
      </c>
      <c r="C118" s="21">
        <v>54</v>
      </c>
      <c r="D118" s="21">
        <f t="shared" si="8"/>
        <v>5832</v>
      </c>
      <c r="E118" s="21">
        <f t="shared" si="11"/>
        <v>1.324641819451829E+174</v>
      </c>
      <c r="F118" s="26">
        <f t="shared" si="9"/>
        <v>0</v>
      </c>
      <c r="L118" s="7">
        <v>102</v>
      </c>
      <c r="M118" s="6">
        <f t="shared" si="12"/>
        <v>9.5109561047726117E-3</v>
      </c>
    </row>
    <row r="119" spans="2:13" x14ac:dyDescent="0.2">
      <c r="B119" s="25">
        <v>109</v>
      </c>
      <c r="C119" s="21">
        <v>54.5</v>
      </c>
      <c r="D119" s="21">
        <f t="shared" si="8"/>
        <v>5940.5</v>
      </c>
      <c r="E119" s="21">
        <f t="shared" si="11"/>
        <v>1.4438595832024942E+176</v>
      </c>
      <c r="F119" s="26">
        <f t="shared" si="9"/>
        <v>0</v>
      </c>
      <c r="L119" s="7">
        <v>103</v>
      </c>
      <c r="M119" s="6">
        <f t="shared" si="12"/>
        <v>1.1080725558958384E-2</v>
      </c>
    </row>
    <row r="120" spans="2:13" x14ac:dyDescent="0.2">
      <c r="B120" s="25">
        <v>110</v>
      </c>
      <c r="C120" s="21">
        <v>55</v>
      </c>
      <c r="D120" s="21">
        <f t="shared" si="8"/>
        <v>6050</v>
      </c>
      <c r="E120" s="21">
        <f t="shared" si="11"/>
        <v>1.5882455415227423E+178</v>
      </c>
      <c r="F120" s="26">
        <f t="shared" si="9"/>
        <v>0</v>
      </c>
      <c r="L120" s="7">
        <v>104</v>
      </c>
      <c r="M120" s="6">
        <f t="shared" si="12"/>
        <v>1.2785452568028896E-2</v>
      </c>
    </row>
    <row r="121" spans="2:13" x14ac:dyDescent="0.2">
      <c r="B121" s="25">
        <v>111</v>
      </c>
      <c r="C121" s="21">
        <v>55.5</v>
      </c>
      <c r="D121" s="21">
        <f t="shared" si="8"/>
        <v>6160.5</v>
      </c>
      <c r="E121" s="21">
        <f t="shared" si="11"/>
        <v>1.7629525510902457E+180</v>
      </c>
      <c r="F121" s="26">
        <f t="shared" si="9"/>
        <v>0</v>
      </c>
      <c r="L121" s="7">
        <v>105</v>
      </c>
      <c r="M121" s="6">
        <f t="shared" si="12"/>
        <v>1.4611945792033025E-2</v>
      </c>
    </row>
    <row r="122" spans="2:13" x14ac:dyDescent="0.2">
      <c r="B122" s="25">
        <v>112</v>
      </c>
      <c r="C122" s="21">
        <v>56</v>
      </c>
      <c r="D122" s="21">
        <f t="shared" si="8"/>
        <v>6272</v>
      </c>
      <c r="E122" s="21">
        <f t="shared" si="11"/>
        <v>1.9745068572210749E+182</v>
      </c>
      <c r="F122" s="26">
        <f t="shared" si="9"/>
        <v>0</v>
      </c>
      <c r="L122" s="7">
        <v>106</v>
      </c>
      <c r="M122" s="6">
        <f t="shared" si="12"/>
        <v>1.6541825424943046E-2</v>
      </c>
    </row>
    <row r="123" spans="2:13" x14ac:dyDescent="0.2">
      <c r="B123" s="25">
        <v>113</v>
      </c>
      <c r="C123" s="21">
        <v>56.5</v>
      </c>
      <c r="D123" s="21">
        <f t="shared" si="8"/>
        <v>6384.5</v>
      </c>
      <c r="E123" s="21">
        <f t="shared" si="11"/>
        <v>2.2311927486598138E+184</v>
      </c>
      <c r="F123" s="26">
        <f t="shared" si="9"/>
        <v>0</v>
      </c>
      <c r="L123" s="7">
        <v>107</v>
      </c>
      <c r="M123" s="6">
        <f t="shared" si="12"/>
        <v>1.8551579915823995E-2</v>
      </c>
    </row>
    <row r="124" spans="2:13" x14ac:dyDescent="0.2">
      <c r="B124" s="25">
        <v>114</v>
      </c>
      <c r="C124" s="21">
        <v>57</v>
      </c>
      <c r="D124" s="21">
        <f t="shared" si="8"/>
        <v>6498</v>
      </c>
      <c r="E124" s="21">
        <f t="shared" si="11"/>
        <v>2.5435597334721862E+186</v>
      </c>
      <c r="F124" s="26">
        <f t="shared" si="9"/>
        <v>0</v>
      </c>
      <c r="L124" s="7">
        <v>108</v>
      </c>
      <c r="M124" s="6">
        <f t="shared" si="12"/>
        <v>2.061286657313776E-2</v>
      </c>
    </row>
    <row r="125" spans="2:13" x14ac:dyDescent="0.2">
      <c r="B125" s="25">
        <v>115</v>
      </c>
      <c r="C125" s="21">
        <v>57.5</v>
      </c>
      <c r="D125" s="21">
        <f t="shared" si="8"/>
        <v>6612.5</v>
      </c>
      <c r="E125" s="21">
        <f t="shared" si="11"/>
        <v>2.9250936934930141E+188</v>
      </c>
      <c r="F125" s="26">
        <f t="shared" si="9"/>
        <v>0</v>
      </c>
      <c r="L125" s="7">
        <v>109</v>
      </c>
      <c r="M125" s="6">
        <f t="shared" si="12"/>
        <v>2.2693064117215871E-2</v>
      </c>
    </row>
    <row r="126" spans="2:13" x14ac:dyDescent="0.2">
      <c r="B126" s="25">
        <v>116</v>
      </c>
      <c r="C126" s="21">
        <v>58</v>
      </c>
      <c r="D126" s="21">
        <f t="shared" si="8"/>
        <v>6728</v>
      </c>
      <c r="E126" s="21">
        <f t="shared" si="11"/>
        <v>3.3931086844518989E+190</v>
      </c>
      <c r="F126" s="26">
        <f t="shared" si="9"/>
        <v>0</v>
      </c>
      <c r="L126" s="7">
        <v>110</v>
      </c>
      <c r="M126" s="6">
        <f t="shared" si="12"/>
        <v>2.4756069946053696E-2</v>
      </c>
    </row>
    <row r="127" spans="2:13" x14ac:dyDescent="0.2">
      <c r="B127" s="25">
        <v>117</v>
      </c>
      <c r="C127" s="21">
        <v>58.5</v>
      </c>
      <c r="D127" s="21">
        <f t="shared" si="8"/>
        <v>6844.5</v>
      </c>
      <c r="E127" s="21">
        <f t="shared" si="11"/>
        <v>3.96993716080872E+192</v>
      </c>
      <c r="F127" s="26">
        <f t="shared" si="9"/>
        <v>0</v>
      </c>
      <c r="L127" s="7">
        <v>111</v>
      </c>
      <c r="M127" s="6">
        <f t="shared" si="12"/>
        <v>2.6763318860598566E-2</v>
      </c>
    </row>
    <row r="128" spans="2:13" x14ac:dyDescent="0.2">
      <c r="B128" s="25">
        <v>118</v>
      </c>
      <c r="C128" s="21">
        <v>59</v>
      </c>
      <c r="D128" s="21">
        <f t="shared" si="8"/>
        <v>6962</v>
      </c>
      <c r="E128" s="21">
        <f t="shared" si="11"/>
        <v>4.6845258497542896E+194</v>
      </c>
      <c r="F128" s="26">
        <f t="shared" si="9"/>
        <v>0</v>
      </c>
      <c r="L128" s="7">
        <v>112</v>
      </c>
      <c r="M128" s="6">
        <f t="shared" si="12"/>
        <v>2.8674984493498472E-2</v>
      </c>
    </row>
    <row r="129" spans="2:13" x14ac:dyDescent="0.2">
      <c r="B129" s="25">
        <v>119</v>
      </c>
      <c r="C129" s="21">
        <v>59.5</v>
      </c>
      <c r="D129" s="21">
        <f t="shared" si="8"/>
        <v>7080.5</v>
      </c>
      <c r="E129" s="21">
        <f t="shared" si="11"/>
        <v>5.5745857612076058E+196</v>
      </c>
      <c r="F129" s="26">
        <f t="shared" si="9"/>
        <v>0</v>
      </c>
      <c r="L129" s="7">
        <v>113</v>
      </c>
      <c r="M129" s="6">
        <f t="shared" si="12"/>
        <v>3.045131096654706E-2</v>
      </c>
    </row>
    <row r="130" spans="2:13" ht="17" thickBot="1" x14ac:dyDescent="0.25">
      <c r="B130" s="27">
        <v>120</v>
      </c>
      <c r="C130" s="28">
        <v>60</v>
      </c>
      <c r="D130" s="28">
        <f t="shared" si="8"/>
        <v>7200</v>
      </c>
      <c r="E130" s="28">
        <f t="shared" si="11"/>
        <v>6.6895029134491346E+198</v>
      </c>
      <c r="F130" s="1">
        <f t="shared" si="9"/>
        <v>0</v>
      </c>
      <c r="L130" s="7">
        <v>114</v>
      </c>
      <c r="M130" s="6">
        <f t="shared" si="12"/>
        <v>3.2054011543733767E-2</v>
      </c>
    </row>
    <row r="131" spans="2:13" x14ac:dyDescent="0.2">
      <c r="L131" s="7">
        <v>115</v>
      </c>
      <c r="M131" s="6">
        <f t="shared" si="12"/>
        <v>3.3447664219548277E-2</v>
      </c>
    </row>
    <row r="132" spans="2:13" x14ac:dyDescent="0.2">
      <c r="L132" s="7">
        <v>116</v>
      </c>
      <c r="M132" s="6">
        <f t="shared" si="12"/>
        <v>3.4601031951256814E-2</v>
      </c>
    </row>
    <row r="133" spans="2:13" x14ac:dyDescent="0.2">
      <c r="L133" s="7">
        <v>117</v>
      </c>
      <c r="M133" s="6">
        <f t="shared" si="12"/>
        <v>3.5488237898724954E-2</v>
      </c>
    </row>
    <row r="134" spans="2:13" x14ac:dyDescent="0.2">
      <c r="L134" s="7">
        <v>118</v>
      </c>
      <c r="M134" s="6">
        <f t="shared" si="12"/>
        <v>3.6089733456330451E-2</v>
      </c>
    </row>
    <row r="135" spans="2:13" x14ac:dyDescent="0.2">
      <c r="L135" s="7">
        <v>119</v>
      </c>
      <c r="M135" s="6">
        <f t="shared" si="12"/>
        <v>3.6393008527392058E-2</v>
      </c>
    </row>
    <row r="136" spans="2:13" x14ac:dyDescent="0.2">
      <c r="L136" s="7">
        <v>120</v>
      </c>
      <c r="M136" s="6">
        <f t="shared" si="12"/>
        <v>3.639300852739201E-2</v>
      </c>
    </row>
    <row r="137" spans="2:13" x14ac:dyDescent="0.2">
      <c r="L137" s="8" t="s">
        <v>13</v>
      </c>
      <c r="M137" s="9">
        <f>SUM(M16:M136)</f>
        <v>0.52425315253882687</v>
      </c>
    </row>
    <row r="138" spans="2:13" ht="17" thickBot="1" x14ac:dyDescent="0.25">
      <c r="L138" s="10" t="s">
        <v>14</v>
      </c>
      <c r="M138" s="13">
        <f>1-M137</f>
        <v>0.47574684746117313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Serrano Cardoso</dc:creator>
  <cp:lastModifiedBy>Luis Serrano Cardoso</cp:lastModifiedBy>
  <dcterms:created xsi:type="dcterms:W3CDTF">2025-09-23T07:23:16Z</dcterms:created>
  <dcterms:modified xsi:type="dcterms:W3CDTF">2025-09-23T11:25:56Z</dcterms:modified>
</cp:coreProperties>
</file>